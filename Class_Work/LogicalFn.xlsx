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1" documentId="11_F25DC773A252ABDACC10489EC11F529A5BDE58E9" xr6:coauthVersionLast="47" xr6:coauthVersionMax="47" xr10:uidLastSave="{77F20C34-E70C-4EAF-8F41-F6D56B4565D1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0" i="2"/>
  <c r="G9" i="2"/>
  <c r="G8" i="2"/>
  <c r="G7" i="2"/>
  <c r="G6" i="2"/>
  <c r="G5" i="2"/>
  <c r="G4" i="2"/>
  <c r="G3" i="2"/>
  <c r="M2" i="2"/>
  <c r="L2" i="2"/>
  <c r="K2" i="2"/>
  <c r="J2" i="2"/>
  <c r="I2" i="2"/>
  <c r="H2" i="2"/>
  <c r="G2" i="2"/>
  <c r="F11" i="1"/>
  <c r="F10" i="1"/>
  <c r="F9" i="1"/>
  <c r="F8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<sst xmlns="http://schemas.openxmlformats.org/spreadsheetml/2006/main" count="53" uniqueCount="34">
  <si>
    <t>Name</t>
  </si>
  <si>
    <t>S1</t>
  </si>
  <si>
    <t>S2</t>
  </si>
  <si>
    <t>S3</t>
  </si>
  <si>
    <t>Ankita</t>
  </si>
  <si>
    <t>Binay</t>
  </si>
  <si>
    <t>Dipa</t>
  </si>
  <si>
    <t>Lopa</t>
  </si>
  <si>
    <t>Amit</t>
  </si>
  <si>
    <t>OrderID</t>
  </si>
  <si>
    <t>Region</t>
  </si>
  <si>
    <t>Category</t>
  </si>
  <si>
    <t>Sales</t>
  </si>
  <si>
    <t>Quantity</t>
  </si>
  <si>
    <t>Month</t>
  </si>
  <si>
    <t>Total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</si>
  <si>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</si>
  <si>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</si>
  <si>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</si>
  <si>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</si>
  <si>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</si>
  <si>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</si>
  <si>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</si>
  <si>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</si>
  <si>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</si>
  <si>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</si>
  <si>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</si>
  <si>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</si>
  <si>
    <t>R6</t>
  </si>
  <si>
    <t>R5</t>
  </si>
  <si>
    <t>R4</t>
  </si>
  <si>
    <t>R3</t>
  </si>
  <si>
    <t>R2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</si>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</sst>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19" sqref="G1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s="2" t="s">
        <v>4</v>
      </c>
      <c r="B2" s="2">
        <v>50</v>
      </c>
      <c r="C2" s="2">
        <v>45</v>
      </c>
      <c r="D2" s="2">
        <v>49</v>
      </c>
      <c r="F2">
        <f>COUNT(B2:B7)</f>
        <v>5</v>
      </c>
      <c r="G2">
        <f>SUM(B2:B7)</f>
        <v>344</v>
      </c>
    </row>
    <row r="3" spans="1:7" x14ac:dyDescent="0.35">
      <c r="A3" s="2" t="s">
        <v>5</v>
      </c>
      <c r="B3" s="2"/>
      <c r="C3" s="2">
        <v>78</v>
      </c>
      <c r="D3" s="2">
        <v>60</v>
      </c>
      <c r="F3">
        <f>COUNT(B2:D7)</f>
        <v>16</v>
      </c>
      <c r="G3">
        <f>SUMIF(C2:C7,"&gt;50",B2:B7)</f>
        <v>236</v>
      </c>
    </row>
    <row r="4" spans="1:7" x14ac:dyDescent="0.35">
      <c r="A4" s="2" t="s">
        <v>6</v>
      </c>
      <c r="B4" s="2">
        <v>89</v>
      </c>
      <c r="C4" s="2">
        <v>82</v>
      </c>
      <c r="D4" s="2">
        <v>80</v>
      </c>
      <c r="F4">
        <f>COUNTA(A2:A7)</f>
        <v>6</v>
      </c>
      <c r="G4">
        <f>SUMIF(A2:A7,"=Ankita",D2:D7)</f>
        <v>141</v>
      </c>
    </row>
    <row r="5" spans="1:7" x14ac:dyDescent="0.35">
      <c r="A5" s="2" t="s">
        <v>7</v>
      </c>
      <c r="B5" s="2">
        <v>97</v>
      </c>
      <c r="C5" s="2">
        <v>78</v>
      </c>
      <c r="D5" s="2">
        <v>98</v>
      </c>
      <c r="F5">
        <f>COUNTA(A2:D7)</f>
        <v>22</v>
      </c>
      <c r="G5">
        <f>SUMIFS(D2:D7,C2:C7,"&gt;80")</f>
        <v>137</v>
      </c>
    </row>
    <row r="6" spans="1:7" x14ac:dyDescent="0.35">
      <c r="A6" s="2" t="s">
        <v>8</v>
      </c>
      <c r="B6" s="2">
        <v>50</v>
      </c>
      <c r="C6" s="2">
        <v>83</v>
      </c>
      <c r="D6" s="2">
        <v>57</v>
      </c>
      <c r="F6">
        <f>COUNTBLANK(A2:D7)</f>
        <v>2</v>
      </c>
      <c r="G6">
        <f>SUMIFS(B2:B7,A2:A7,"=ankita")</f>
        <v>108</v>
      </c>
    </row>
    <row r="7" spans="1:7" x14ac:dyDescent="0.35">
      <c r="A7" s="2" t="s">
        <v>4</v>
      </c>
      <c r="B7" s="2">
        <v>58</v>
      </c>
      <c r="C7" s="2"/>
      <c r="D7" s="2">
        <v>92</v>
      </c>
      <c r="F7">
        <f>COUNTBLANK(B2:B7)</f>
        <v>1</v>
      </c>
    </row>
    <row r="8" spans="1:7" x14ac:dyDescent="0.35">
      <c r="F8">
        <f>COUNTIF(B2:B7,"&gt;50")</f>
        <v>3</v>
      </c>
    </row>
    <row r="9" spans="1:7" x14ac:dyDescent="0.35">
      <c r="F9">
        <f>COUNTIF(A2:B7,"=Ankita")</f>
        <v>2</v>
      </c>
    </row>
    <row r="10" spans="1:7" x14ac:dyDescent="0.35">
      <c r="F10">
        <f>COUNTIFS(A2:A7,"=Ankita",D2:D7,"&gt;50")</f>
        <v>1</v>
      </c>
    </row>
    <row r="11" spans="1:7" x14ac:dyDescent="0.35">
      <c r="F11">
        <f>COUNTIFS(B2:B7,"&gt;70",D2:D7,"&lt;90")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841C-AE44-4F78-89D0-40E831E3D1BE}">
  <dimension ref="A1:M11"/>
  <sheetViews>
    <sheetView tabSelected="1" workbookViewId="0">
      <selection activeCell="L14" sqref="L14"/>
    </sheetView>
  </sheetViews>
  <sheetFormatPr defaultRowHeight="14.5" x14ac:dyDescent="0.35"/>
  <cols>
    <col min="3" max="3" width="9.7265625" bestFit="1" customWidth="1"/>
  </cols>
  <sheetData>
    <row r="1" spans="1:13" x14ac:dyDescent="0.3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</row>
    <row r="2" spans="1:13" x14ac:dyDescent="0.35">
      <c r="A2" s="4">
        <v>101</v>
      </c>
      <c r="B2" s="4" t="s">
        <v>16</v>
      </c>
      <c r="C2" s="4" t="s">
        <v>17</v>
      </c>
      <c r="D2" s="4">
        <v>25000</v>
      </c>
      <c r="E2" s="4">
        <v>5</v>
      </c>
      <c r="F2" s="4" t="s">
        <v>18</v>
      </c>
      <c r="G2" s="4">
        <f>PRODUCT(D2*E2)</f>
        <v>125000</v>
      </c>
      <c r="H2" s="4">
        <f>SUMIF(B2:B11,"=East",D2:D11)</f>
        <v>94000</v>
      </c>
      <c r="I2" s="4">
        <f>SUMIF(C2:C11,"Electronics",D2:D11)</f>
        <v>115000</v>
      </c>
      <c r="J2" s="4">
        <f>SUMIFS(D2:D11,B2:B11,"=East",C2:C11,"=Electronics")</f>
        <v>55000</v>
      </c>
      <c r="K2" s="4">
        <f>SUMIF(F2:F11,"=jan",D2:D11)</f>
        <v>43000</v>
      </c>
      <c r="L2" s="4">
        <f>SUMIF(C2:C11,"=Electronics",E2:E11)</f>
        <v>26</v>
      </c>
      <c r="M2" s="4">
        <f>SUMIFS(E2:E11,C2:C11,"=electronics",B2:B11,"=east")</f>
        <v>11</v>
      </c>
    </row>
    <row r="3" spans="1:13" x14ac:dyDescent="0.35">
      <c r="A3" s="4">
        <v>102</v>
      </c>
      <c r="B3" s="4" t="s">
        <v>19</v>
      </c>
      <c r="C3" s="4" t="s">
        <v>20</v>
      </c>
      <c r="D3" s="4">
        <v>18000</v>
      </c>
      <c r="E3" s="4">
        <v>3</v>
      </c>
      <c r="F3" s="4" t="s">
        <v>18</v>
      </c>
      <c r="G3" s="4">
        <f t="shared" ref="G3:G11" si="0">PRODUCT(D3*E3)</f>
        <v>54000</v>
      </c>
      <c r="H3" s="4"/>
      <c r="I3" s="4"/>
      <c r="J3" s="4"/>
      <c r="K3" s="4"/>
      <c r="L3" s="4"/>
      <c r="M3" s="4"/>
    </row>
    <row r="4" spans="1:13" x14ac:dyDescent="0.35">
      <c r="A4" s="4">
        <v>103</v>
      </c>
      <c r="B4" s="4" t="s">
        <v>16</v>
      </c>
      <c r="C4" s="4" t="s">
        <v>17</v>
      </c>
      <c r="D4" s="4">
        <v>30000</v>
      </c>
      <c r="E4" s="4">
        <v>6</v>
      </c>
      <c r="F4" s="4" t="s">
        <v>21</v>
      </c>
      <c r="G4" s="4">
        <f t="shared" si="0"/>
        <v>180000</v>
      </c>
      <c r="H4" s="4"/>
      <c r="I4" s="4"/>
      <c r="J4" s="4"/>
      <c r="K4" s="4"/>
      <c r="L4" s="4"/>
      <c r="M4" s="4"/>
    </row>
    <row r="5" spans="1:13" x14ac:dyDescent="0.35">
      <c r="A5" s="4">
        <v>104</v>
      </c>
      <c r="B5" s="4" t="s">
        <v>22</v>
      </c>
      <c r="C5" s="4" t="s">
        <v>23</v>
      </c>
      <c r="D5" s="4">
        <v>12000</v>
      </c>
      <c r="E5" s="4">
        <v>4</v>
      </c>
      <c r="F5" s="4" t="s">
        <v>21</v>
      </c>
      <c r="G5" s="4">
        <f t="shared" si="0"/>
        <v>48000</v>
      </c>
      <c r="H5" s="4"/>
      <c r="I5" s="4"/>
      <c r="J5" s="4"/>
      <c r="K5" s="4"/>
      <c r="L5" s="4"/>
      <c r="M5" s="4"/>
    </row>
    <row r="6" spans="1:13" x14ac:dyDescent="0.35">
      <c r="A6" s="4">
        <v>105</v>
      </c>
      <c r="B6" s="4" t="s">
        <v>24</v>
      </c>
      <c r="C6" s="4" t="s">
        <v>20</v>
      </c>
      <c r="D6" s="4">
        <v>22000</v>
      </c>
      <c r="E6" s="4">
        <v>5</v>
      </c>
      <c r="F6" s="4" t="s">
        <v>25</v>
      </c>
      <c r="G6" s="4">
        <f t="shared" si="0"/>
        <v>110000</v>
      </c>
      <c r="H6" s="4"/>
      <c r="I6" s="4"/>
      <c r="J6" s="4"/>
      <c r="K6" s="4"/>
      <c r="L6" s="4"/>
      <c r="M6" s="4"/>
    </row>
    <row r="7" spans="1:13" x14ac:dyDescent="0.35">
      <c r="A7" s="4">
        <v>106</v>
      </c>
      <c r="B7" s="4" t="s">
        <v>16</v>
      </c>
      <c r="C7" s="4" t="s">
        <v>23</v>
      </c>
      <c r="D7" s="4">
        <v>15000</v>
      </c>
      <c r="E7" s="4">
        <v>3</v>
      </c>
      <c r="F7" s="4" t="s">
        <v>25</v>
      </c>
      <c r="G7" s="4">
        <f t="shared" si="0"/>
        <v>45000</v>
      </c>
      <c r="H7" s="4"/>
      <c r="I7" s="4"/>
      <c r="J7" s="4"/>
      <c r="K7" s="4"/>
      <c r="L7" s="4"/>
      <c r="M7" s="4"/>
    </row>
    <row r="8" spans="1:13" x14ac:dyDescent="0.35">
      <c r="A8" s="4">
        <v>107</v>
      </c>
      <c r="B8" s="4" t="s">
        <v>19</v>
      </c>
      <c r="C8" s="4" t="s">
        <v>17</v>
      </c>
      <c r="D8" s="4">
        <v>28000</v>
      </c>
      <c r="E8" s="4">
        <v>7</v>
      </c>
      <c r="F8" s="4" t="s">
        <v>26</v>
      </c>
      <c r="G8" s="4">
        <f t="shared" si="0"/>
        <v>196000</v>
      </c>
      <c r="H8" s="4"/>
      <c r="I8" s="4"/>
      <c r="J8" s="4"/>
      <c r="K8" s="4"/>
      <c r="L8" s="4"/>
      <c r="M8" s="4"/>
    </row>
    <row r="9" spans="1:13" x14ac:dyDescent="0.35">
      <c r="A9" s="4">
        <v>108</v>
      </c>
      <c r="B9" s="4" t="s">
        <v>22</v>
      </c>
      <c r="C9" s="4" t="s">
        <v>20</v>
      </c>
      <c r="D9" s="4">
        <v>20000</v>
      </c>
      <c r="E9" s="4">
        <v>4</v>
      </c>
      <c r="F9" s="4" t="s">
        <v>26</v>
      </c>
      <c r="G9" s="4">
        <f t="shared" si="0"/>
        <v>80000</v>
      </c>
      <c r="H9" s="4"/>
      <c r="I9" s="4"/>
      <c r="J9" s="4"/>
      <c r="K9" s="4"/>
      <c r="L9" s="4"/>
      <c r="M9" s="4"/>
    </row>
    <row r="10" spans="1:13" x14ac:dyDescent="0.35">
      <c r="A10" s="4">
        <v>109</v>
      </c>
      <c r="B10" s="4" t="s">
        <v>24</v>
      </c>
      <c r="C10" s="4" t="s">
        <v>17</v>
      </c>
      <c r="D10" s="4">
        <v>32000</v>
      </c>
      <c r="E10" s="4">
        <v>8</v>
      </c>
      <c r="F10" s="4" t="s">
        <v>27</v>
      </c>
      <c r="G10" s="4">
        <f t="shared" si="0"/>
        <v>256000</v>
      </c>
      <c r="H10" s="4"/>
      <c r="I10" s="4"/>
      <c r="J10" s="4"/>
      <c r="K10" s="4"/>
      <c r="L10" s="4"/>
      <c r="M10" s="4"/>
    </row>
    <row r="11" spans="1:13" x14ac:dyDescent="0.35">
      <c r="A11" s="4">
        <v>110</v>
      </c>
      <c r="B11" s="4" t="s">
        <v>16</v>
      </c>
      <c r="C11" s="4" t="s">
        <v>20</v>
      </c>
      <c r="D11" s="4">
        <v>24000</v>
      </c>
      <c r="E11" s="4">
        <v>6</v>
      </c>
      <c r="F11" s="4" t="s">
        <v>27</v>
      </c>
      <c r="G11" s="4">
        <f t="shared" si="0"/>
        <v>144000</v>
      </c>
      <c r="H11" s="4"/>
      <c r="I11" s="4"/>
      <c r="J11" s="4"/>
      <c r="K11" s="4"/>
      <c r="L11" s="4"/>
      <c r="M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2015-06-05T18:17:20Z</dcterms:created>
  <dcterms:modified xsi:type="dcterms:W3CDTF">2026-01-11T05:52:36Z</dcterms:modified>
</cp:coreProperties>
</file>