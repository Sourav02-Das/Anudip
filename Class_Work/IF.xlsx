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ff9032dd488a969/Desktop/Anudip/"/>
    </mc:Choice>
  </mc:AlternateContent>
  <xr:revisionPtr revIDLastSave="1" documentId="11_F25DC773A252ABDACC10489EC11F529A5BDE58E9" xr6:coauthVersionLast="47" xr6:coauthVersionMax="47" xr10:uidLastSave="{8BD272C9-09E6-4CFC-AC59-B3189B3C92D3}"/>
  <bookViews>
    <workbookView xWindow="-110" yWindow="-110" windowWidth="19420" windowHeight="110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3" i="1" l="1"/>
  <c r="F13" i="1" s="1"/>
  <c r="E12" i="1"/>
  <c r="F12" i="1" s="1"/>
  <c r="F11" i="1"/>
  <c r="H11" i="1" s="1"/>
  <c r="E11" i="1"/>
  <c r="H10" i="1"/>
  <c r="G10" i="1"/>
  <c r="F10" i="1"/>
  <c r="E10" i="1"/>
  <c r="F9" i="1"/>
  <c r="H9" i="1" s="1"/>
  <c r="E9" i="1"/>
  <c r="E6" i="1"/>
  <c r="D6" i="1"/>
  <c r="C6" i="1"/>
  <c r="E5" i="1"/>
  <c r="D5" i="1"/>
  <c r="C5" i="1"/>
  <c r="E4" i="1"/>
  <c r="D4" i="1"/>
  <c r="C4" i="1"/>
  <c r="E3" i="1"/>
  <c r="D3" i="1"/>
  <c r="C3" i="1"/>
  <c r="E2" i="1"/>
  <c r="D2" i="1"/>
  <c r="C2" i="1"/>
  <c r="H12" i="1" l="1"/>
  <c r="G12" i="1"/>
  <c r="H13" i="1"/>
  <c r="G13" i="1"/>
  <c r="G9" i="1"/>
  <c r="G11" i="1"/>
</calcChain>
</file>

<file path=xl/sharedStrings.xml><?xml version="1.0" encoding="utf-8"?>
<sst xmlns="http://schemas.openxmlformats.org/spreadsheetml/2006/main" count="59" uniqueCount="29">
  <si>
    <t>jan</t>
  </si>
  <si>
    <t>feb</t>
  </si>
  <si>
    <t>sourav</t>
  </si>
  <si>
    <t>mar</t>
  </si>
  <si>
    <t>ram</t>
  </si>
  <si>
    <t>apr</t>
  </si>
  <si>
    <t>lucky</t>
  </si>
  <si>
    <t>may</t>
  </si>
  <si>
    <t>jun</t>
  </si>
  <si>
    <t>apple</t>
  </si>
  <si>
    <t>grape</t>
  </si>
  <si>
    <t>pineapple</t>
  </si>
  <si>
    <t>Name</t>
  </si>
  <si>
    <t>Marks</t>
  </si>
  <si>
    <t>R1</t>
  </si>
  <si>
    <t>R2</t>
  </si>
  <si>
    <t>R3</t>
  </si>
  <si>
    <t>Ankita</t>
  </si>
  <si>
    <t>Binay</t>
  </si>
  <si>
    <t>Dipa</t>
  </si>
  <si>
    <t>Lopa</t>
  </si>
  <si>
    <t>Amit</t>
  </si>
  <si>
    <t>S1</t>
  </si>
  <si>
    <t>S2</t>
  </si>
  <si>
    <t>S3</t>
  </si>
  <si>
    <t>Total</t>
  </si>
  <si>
    <t>Percentage</t>
  </si>
  <si>
    <t>Grade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</si>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</sst>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2" borderId="1" xfId="0" applyFill="1" applyBorder="1"/>
    <xf numFmtId="0" fontId="0" fillId="0" borderId="1" xfId="0" applyBorder="1"/>
    <xf numFmtId="0" fontId="2" fillId="3" borderId="1" xfId="0" applyFont="1" applyFill="1" applyBorder="1"/>
    <xf numFmtId="0" fontId="0" fillId="3" borderId="1" xfId="0" applyFill="1" applyBorder="1"/>
    <xf numFmtId="0" fontId="0" fillId="3" borderId="1" xfId="1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H9" sqref="H9"/>
    </sheetView>
  </sheetViews>
  <sheetFormatPr defaultRowHeight="14.5" x14ac:dyDescent="0.35"/>
  <cols>
    <col min="3" max="3" width="10.26953125" bestFit="1" customWidth="1"/>
    <col min="4" max="4" width="16.1796875" bestFit="1" customWidth="1"/>
    <col min="5" max="5" width="20.7265625" bestFit="1" customWidth="1"/>
    <col min="6" max="6" width="10.1796875" bestFit="1" customWidth="1"/>
    <col min="7" max="7" width="35.1796875" bestFit="1" customWidth="1"/>
    <col min="8" max="8" width="36.08984375" bestFit="1" customWidth="1"/>
  </cols>
  <sheetData>
    <row r="1" spans="1:8" x14ac:dyDescent="0.35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</row>
    <row r="2" spans="1:8" x14ac:dyDescent="0.35">
      <c r="A2" s="4" t="s">
        <v>17</v>
      </c>
      <c r="B2" s="4">
        <v>56</v>
      </c>
      <c r="C2" s="4" t="str">
        <f>IF(B2&gt;50,"Pass","Fail")</f>
        <v>Pass</v>
      </c>
      <c r="D2" s="4" t="str">
        <f>IF(B2&gt;70,"A",IF(B2&gt;50,"Pass","Fail"))</f>
        <v>Pass</v>
      </c>
      <c r="E2" s="4" t="str">
        <f>_xlfn.IFS(B2&gt;90,"A",B2&gt;80,"B",B2&gt;51,"P",B2&lt;=50,"F")</f>
        <v>P</v>
      </c>
    </row>
    <row r="3" spans="1:8" x14ac:dyDescent="0.35">
      <c r="A3" s="4" t="s">
        <v>18</v>
      </c>
      <c r="B3" s="4">
        <v>45</v>
      </c>
      <c r="C3" s="4" t="str">
        <f t="shared" ref="C3:C6" si="0">IF(B3&gt;50,"Pass","Fail")</f>
        <v>Fail</v>
      </c>
      <c r="D3" s="4" t="str">
        <f t="shared" ref="D3:D6" si="1">IF(B3&gt;70,"A",IF(B3&gt;50,"Pass","Fail"))</f>
        <v>Fail</v>
      </c>
      <c r="E3" s="4" t="str">
        <f t="shared" ref="E3:E6" si="2">_xlfn.IFS(B3&gt;90,"A",B3&gt;80,"B",B3&lt;=50,"F")</f>
        <v>F</v>
      </c>
    </row>
    <row r="4" spans="1:8" x14ac:dyDescent="0.35">
      <c r="A4" s="4" t="s">
        <v>19</v>
      </c>
      <c r="B4" s="4">
        <v>89</v>
      </c>
      <c r="C4" s="4" t="str">
        <f t="shared" si="0"/>
        <v>Pass</v>
      </c>
      <c r="D4" s="4" t="str">
        <f t="shared" si="1"/>
        <v>A</v>
      </c>
      <c r="E4" s="4" t="str">
        <f t="shared" si="2"/>
        <v>B</v>
      </c>
    </row>
    <row r="5" spans="1:8" x14ac:dyDescent="0.35">
      <c r="A5" s="4" t="s">
        <v>20</v>
      </c>
      <c r="B5" s="4">
        <v>97</v>
      </c>
      <c r="C5" s="4" t="str">
        <f t="shared" si="0"/>
        <v>Pass</v>
      </c>
      <c r="D5" s="4" t="str">
        <f t="shared" si="1"/>
        <v>A</v>
      </c>
      <c r="E5" s="4" t="str">
        <f t="shared" si="2"/>
        <v>A</v>
      </c>
    </row>
    <row r="6" spans="1:8" x14ac:dyDescent="0.35">
      <c r="A6" s="4" t="s">
        <v>21</v>
      </c>
      <c r="B6" s="4">
        <v>50</v>
      </c>
      <c r="C6" s="4" t="str">
        <f t="shared" si="0"/>
        <v>Fail</v>
      </c>
      <c r="D6" s="4" t="str">
        <f t="shared" si="1"/>
        <v>Fail</v>
      </c>
      <c r="E6" s="4" t="str">
        <f t="shared" si="2"/>
        <v>F</v>
      </c>
    </row>
    <row r="8" spans="1:8" x14ac:dyDescent="0.35">
      <c r="A8" s="3" t="s">
        <v>12</v>
      </c>
      <c r="B8" s="3" t="s">
        <v>22</v>
      </c>
      <c r="C8" s="3" t="s">
        <v>23</v>
      </c>
      <c r="D8" s="3" t="s">
        <v>24</v>
      </c>
      <c r="E8" s="3" t="s">
        <v>25</v>
      </c>
      <c r="F8" s="3" t="s">
        <v>26</v>
      </c>
      <c r="G8" s="3" t="s">
        <v>27</v>
      </c>
      <c r="H8" s="3" t="s">
        <v>28</v>
      </c>
    </row>
    <row r="9" spans="1:8" x14ac:dyDescent="0.35">
      <c r="A9" s="4" t="s">
        <v>17</v>
      </c>
      <c r="B9" s="4">
        <v>50</v>
      </c>
      <c r="C9" s="4">
        <v>45</v>
      </c>
      <c r="D9" s="4">
        <v>49</v>
      </c>
      <c r="E9" s="4">
        <f>SUM(B9:D9)</f>
        <v>144</v>
      </c>
      <c r="F9" s="5">
        <f>E9/3</f>
        <v>48</v>
      </c>
      <c r="G9" s="4" t="str">
        <f>IF(F9&gt;=90,"A",IF(AND(F9&gt;=70,F9&lt;90),"B",IF(AND(F9&gt;=50,F9&lt;70),"C","Fail")))</f>
        <v>Fail</v>
      </c>
      <c r="H9" s="4" t="str">
        <f>_xlfn.IFS(F9&gt;=90,"A",AND(F9&gt;=70,F9&lt;90),"B",AND(F9&gt;=50,F9&lt;70),"C",F9&lt;50,"Fail")</f>
        <v>Fail</v>
      </c>
    </row>
    <row r="10" spans="1:8" x14ac:dyDescent="0.35">
      <c r="A10" s="4" t="s">
        <v>18</v>
      </c>
      <c r="B10" s="4">
        <v>45</v>
      </c>
      <c r="C10" s="4">
        <v>78</v>
      </c>
      <c r="D10" s="4">
        <v>60</v>
      </c>
      <c r="E10" s="4">
        <f t="shared" ref="E10:E13" si="3">SUM(B10:D10)</f>
        <v>183</v>
      </c>
      <c r="F10" s="5">
        <f t="shared" ref="F10:F13" si="4">E10/3</f>
        <v>61</v>
      </c>
      <c r="G10" s="4" t="str">
        <f t="shared" ref="G10:G13" si="5">IF(F10&gt;=90,"A",IF(AND(F10&gt;=70,F10&lt;90),"B",IF(AND(F10&gt;=50,F10&lt;70),"C","Fail")))</f>
        <v>C</v>
      </c>
      <c r="H10" s="4" t="str">
        <f t="shared" ref="H10:H13" si="6">_xlfn.IFS(F10&gt;=90,"A",AND(F10&gt;=70,F10&lt;90),"B",AND(F10&gt;=50,F10&lt;70),"C",F10&lt;50,"Fail")</f>
        <v>C</v>
      </c>
    </row>
    <row r="11" spans="1:8" x14ac:dyDescent="0.35">
      <c r="A11" s="4" t="s">
        <v>19</v>
      </c>
      <c r="B11" s="4">
        <v>89</v>
      </c>
      <c r="C11" s="4">
        <v>82</v>
      </c>
      <c r="D11" s="4">
        <v>80</v>
      </c>
      <c r="E11" s="4">
        <f t="shared" si="3"/>
        <v>251</v>
      </c>
      <c r="F11" s="5">
        <f t="shared" si="4"/>
        <v>83.666666666666671</v>
      </c>
      <c r="G11" s="4" t="str">
        <f t="shared" si="5"/>
        <v>B</v>
      </c>
      <c r="H11" s="4" t="str">
        <f t="shared" si="6"/>
        <v>B</v>
      </c>
    </row>
    <row r="12" spans="1:8" x14ac:dyDescent="0.35">
      <c r="A12" s="4" t="s">
        <v>20</v>
      </c>
      <c r="B12" s="4">
        <v>97</v>
      </c>
      <c r="C12" s="4">
        <v>78</v>
      </c>
      <c r="D12" s="4">
        <v>98</v>
      </c>
      <c r="E12" s="4">
        <f t="shared" si="3"/>
        <v>273</v>
      </c>
      <c r="F12" s="5">
        <f t="shared" si="4"/>
        <v>91</v>
      </c>
      <c r="G12" s="4" t="str">
        <f t="shared" si="5"/>
        <v>A</v>
      </c>
      <c r="H12" s="4" t="str">
        <f t="shared" si="6"/>
        <v>A</v>
      </c>
    </row>
    <row r="13" spans="1:8" x14ac:dyDescent="0.35">
      <c r="A13" s="4" t="s">
        <v>21</v>
      </c>
      <c r="B13" s="4">
        <v>50</v>
      </c>
      <c r="C13" s="4">
        <v>83</v>
      </c>
      <c r="D13" s="4">
        <v>57</v>
      </c>
      <c r="E13" s="4">
        <f t="shared" si="3"/>
        <v>190</v>
      </c>
      <c r="F13" s="5">
        <f t="shared" si="4"/>
        <v>63.333333333333336</v>
      </c>
      <c r="G13" s="4" t="str">
        <f t="shared" si="5"/>
        <v>C</v>
      </c>
      <c r="H13" s="4" t="str">
        <f t="shared" si="6"/>
        <v>C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7982A-AFD8-4AD1-8BB6-B1B2B8C9C241}">
  <dimension ref="B2:M18"/>
  <sheetViews>
    <sheetView workbookViewId="0">
      <selection activeCell="P8" sqref="P8"/>
    </sheetView>
  </sheetViews>
  <sheetFormatPr defaultRowHeight="14.5" x14ac:dyDescent="0.35"/>
  <sheetData>
    <row r="2" spans="2:13" x14ac:dyDescent="0.35">
      <c r="B2" s="1" t="s">
        <v>0</v>
      </c>
      <c r="C2" s="1" t="s">
        <v>0</v>
      </c>
      <c r="D2" s="1" t="s">
        <v>0</v>
      </c>
      <c r="E2" s="1" t="s">
        <v>0</v>
      </c>
    </row>
    <row r="3" spans="2:13" x14ac:dyDescent="0.35">
      <c r="B3" s="1" t="s">
        <v>1</v>
      </c>
      <c r="C3" s="2" t="s">
        <v>1</v>
      </c>
      <c r="D3" s="2"/>
      <c r="E3" s="2"/>
      <c r="J3" t="s">
        <v>2</v>
      </c>
    </row>
    <row r="4" spans="2:13" x14ac:dyDescent="0.35">
      <c r="B4" s="1" t="s">
        <v>3</v>
      </c>
      <c r="C4" s="2" t="s">
        <v>3</v>
      </c>
      <c r="D4" s="2"/>
      <c r="E4" s="2"/>
      <c r="J4" t="s">
        <v>4</v>
      </c>
      <c r="M4" t="s">
        <v>2</v>
      </c>
    </row>
    <row r="5" spans="2:13" x14ac:dyDescent="0.35">
      <c r="B5" s="1" t="s">
        <v>5</v>
      </c>
      <c r="C5" s="2" t="s">
        <v>5</v>
      </c>
      <c r="D5" s="2"/>
      <c r="E5" s="2"/>
      <c r="J5" t="s">
        <v>6</v>
      </c>
      <c r="M5" t="s">
        <v>4</v>
      </c>
    </row>
    <row r="6" spans="2:13" x14ac:dyDescent="0.35">
      <c r="B6" s="1" t="s">
        <v>7</v>
      </c>
      <c r="C6" s="2" t="s">
        <v>7</v>
      </c>
      <c r="D6" s="2"/>
      <c r="E6" s="2"/>
      <c r="M6" t="s">
        <v>6</v>
      </c>
    </row>
    <row r="7" spans="2:13" x14ac:dyDescent="0.35">
      <c r="B7" s="1" t="s">
        <v>8</v>
      </c>
      <c r="C7" s="2" t="s">
        <v>8</v>
      </c>
      <c r="D7" s="2"/>
      <c r="E7" s="2"/>
      <c r="M7" t="s">
        <v>2</v>
      </c>
    </row>
    <row r="8" spans="2:13" x14ac:dyDescent="0.35">
      <c r="M8" t="s">
        <v>4</v>
      </c>
    </row>
    <row r="9" spans="2:13" x14ac:dyDescent="0.35">
      <c r="M9" t="s">
        <v>6</v>
      </c>
    </row>
    <row r="10" spans="2:13" x14ac:dyDescent="0.35">
      <c r="H10" t="s">
        <v>9</v>
      </c>
      <c r="M10" t="s">
        <v>2</v>
      </c>
    </row>
    <row r="11" spans="2:13" x14ac:dyDescent="0.35">
      <c r="H11" t="s">
        <v>10</v>
      </c>
      <c r="M11" t="s">
        <v>4</v>
      </c>
    </row>
    <row r="12" spans="2:13" x14ac:dyDescent="0.35">
      <c r="H12" t="s">
        <v>11</v>
      </c>
      <c r="M12" t="s">
        <v>6</v>
      </c>
    </row>
    <row r="13" spans="2:13" x14ac:dyDescent="0.35">
      <c r="H13" t="s">
        <v>9</v>
      </c>
      <c r="M13" t="s">
        <v>2</v>
      </c>
    </row>
    <row r="14" spans="2:13" x14ac:dyDescent="0.35">
      <c r="M14" t="s">
        <v>4</v>
      </c>
    </row>
    <row r="15" spans="2:13" x14ac:dyDescent="0.35">
      <c r="M15" t="s">
        <v>6</v>
      </c>
    </row>
    <row r="16" spans="2:13" x14ac:dyDescent="0.35">
      <c r="M16" t="s">
        <v>2</v>
      </c>
    </row>
    <row r="17" spans="13:13" x14ac:dyDescent="0.35">
      <c r="M17" t="s">
        <v>4</v>
      </c>
    </row>
    <row r="18" spans="13:13" x14ac:dyDescent="0.35">
      <c r="M1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Das</dc:creator>
  <cp:lastModifiedBy>Sourav Das</cp:lastModifiedBy>
  <dcterms:created xsi:type="dcterms:W3CDTF">2015-06-05T18:17:20Z</dcterms:created>
  <dcterms:modified xsi:type="dcterms:W3CDTF">2026-01-11T05:44:49Z</dcterms:modified>
</cp:coreProperties>
</file>