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0" documentId="8_{3699D49E-C2F1-4C71-BA43-3387AE44883D}" xr6:coauthVersionLast="47" xr6:coauthVersionMax="47" xr10:uidLastSave="{00000000-0000-0000-0000-000000000000}"/>
  <bookViews>
    <workbookView xWindow="-110" yWindow="-110" windowWidth="19420" windowHeight="11020" activeTab="1" xr2:uid="{5D5E26A3-6AEC-43B4-963C-DF527B5F50DF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L19" i="2"/>
  <c r="C19" i="2" a="1"/>
  <c r="D19" i="2" s="1"/>
  <c r="C15" i="2" a="1"/>
  <c r="D15" i="2" s="1"/>
  <c r="G15" i="2"/>
  <c r="O11" i="2"/>
  <c r="O10" i="2"/>
  <c r="L10" i="2"/>
  <c r="O9" i="2"/>
  <c r="L9" i="2"/>
  <c r="J9" i="2"/>
  <c r="K9" i="2" s="1"/>
  <c r="I9" i="2"/>
  <c r="O8" i="2"/>
  <c r="L8" i="2"/>
  <c r="J8" i="2"/>
  <c r="K8" i="2" s="1"/>
  <c r="I8" i="2"/>
  <c r="O7" i="2"/>
  <c r="L7" i="2"/>
  <c r="K7" i="2"/>
  <c r="J7" i="2"/>
  <c r="M7" i="2" s="1"/>
  <c r="N7" i="2" s="1"/>
  <c r="I7" i="2"/>
  <c r="D7" i="2"/>
  <c r="G14" i="2" s="1"/>
  <c r="O6" i="2"/>
  <c r="L6" i="2"/>
  <c r="K6" i="2"/>
  <c r="J6" i="2"/>
  <c r="M6" i="2" s="1"/>
  <c r="N6" i="2" s="1"/>
  <c r="I6" i="2"/>
  <c r="D6" i="2"/>
  <c r="L17" i="2" s="1"/>
  <c r="O5" i="2"/>
  <c r="L5" i="2"/>
  <c r="K5" i="2"/>
  <c r="J5" i="2"/>
  <c r="M5" i="2" s="1"/>
  <c r="N5" i="2" s="1"/>
  <c r="I5" i="2"/>
  <c r="D5" i="2"/>
  <c r="L16" i="2" s="1"/>
  <c r="O4" i="2"/>
  <c r="L4" i="2"/>
  <c r="J4" i="2"/>
  <c r="K4" i="2" s="1"/>
  <c r="I4" i="2"/>
  <c r="D4" i="2"/>
  <c r="L15" i="2" s="1"/>
  <c r="F3" i="2" a="1"/>
  <c r="G3" i="2" s="1"/>
  <c r="D3" i="2"/>
  <c r="C14" i="2" s="1" a="1"/>
  <c r="E2" i="2"/>
  <c r="D2" i="2"/>
  <c r="L13" i="2" s="1"/>
  <c r="D8" i="1"/>
  <c r="D7" i="1"/>
  <c r="D6" i="1"/>
  <c r="D5" i="1"/>
  <c r="D4" i="1"/>
  <c r="D3" i="1"/>
  <c r="D2" i="1"/>
  <c r="D14" i="2" l="1"/>
  <c r="C14" i="2"/>
  <c r="M4" i="2"/>
  <c r="N4" i="2" s="1"/>
  <c r="G12" i="2"/>
  <c r="C16" i="2" a="1"/>
  <c r="C18" i="2" a="1"/>
  <c r="M8" i="2"/>
  <c r="N8" i="2" s="1"/>
  <c r="M9" i="2"/>
  <c r="N9" i="2" s="1"/>
  <c r="F3" i="2"/>
  <c r="G13" i="2"/>
  <c r="C13" i="2" a="1"/>
  <c r="L14" i="2"/>
  <c r="G9" i="2"/>
  <c r="G10" i="2"/>
  <c r="L18" i="2"/>
  <c r="C15" i="2"/>
  <c r="C19" i="2"/>
  <c r="C17" i="2" a="1"/>
  <c r="G11" i="2"/>
  <c r="D18" i="2" l="1"/>
  <c r="C18" i="2"/>
  <c r="C13" i="2"/>
  <c r="D13" i="2"/>
  <c r="D16" i="2"/>
  <c r="C16" i="2"/>
  <c r="D17" i="2"/>
  <c r="C17" i="2"/>
</calcChain>
</file>

<file path=xl/sharedStrings.xml><?xml version="1.0" encoding="utf-8"?>
<sst xmlns="http://schemas.openxmlformats.org/spreadsheetml/2006/main" count="28" uniqueCount="19">
  <si>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</si>
  <si>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</si>
  <si>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</si>
  <si>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</si>
  <si>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</si>
  <si>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</si>
  <si>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</si>
  <si>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</si>
  <si>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</si>
  <si>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 h</t>
  </si>
  <si>
    <t>Order ID</t>
  </si>
  <si>
    <t>Quantity</t>
  </si>
  <si>
    <t>product g</t>
  </si>
  <si>
    <t>Availability</t>
  </si>
  <si>
    <t>Total Price</t>
  </si>
  <si>
    <t>Discount</t>
  </si>
  <si>
    <t>Max Order Value</t>
  </si>
  <si>
    <t>Summary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</si>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</sst>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rdas\AppData\Local\Packages\5319275A.WhatsAppDesktop_cv1g1gvanyjgm\LocalState\sessions\E4BBCF481C42AB433E8577DB4BAE017B9A058B47\transfers\2026-02\D2475.xlsx" TargetMode="External"/><Relationship Id="rId1" Type="http://schemas.openxmlformats.org/officeDocument/2006/relationships/externalLinkPath" Target="file:///C:\Users\mrdas\AppData\Local\Packages\5319275A.WhatsAppDesktop_cv1g1gvanyjgm\LocalState\sessions\E4BBCF481C42AB433E8577DB4BAE017B9A058B47\transfers\2026-02\D247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Product ID</v>
          </cell>
          <cell r="B1" t="str">
            <v>Product</v>
          </cell>
          <cell r="C1" t="str">
            <v>Price</v>
          </cell>
        </row>
        <row r="2">
          <cell r="A2">
            <v>101</v>
          </cell>
          <cell r="B2" t="str">
            <v>Product A</v>
          </cell>
          <cell r="C2">
            <v>120</v>
          </cell>
        </row>
        <row r="3">
          <cell r="A3">
            <v>102</v>
          </cell>
          <cell r="B3" t="str">
            <v>Product B</v>
          </cell>
          <cell r="C3">
            <v>150</v>
          </cell>
        </row>
        <row r="4">
          <cell r="A4">
            <v>103</v>
          </cell>
          <cell r="B4" t="str">
            <v>Product C</v>
          </cell>
          <cell r="C4">
            <v>200</v>
          </cell>
        </row>
        <row r="5">
          <cell r="A5">
            <v>104</v>
          </cell>
          <cell r="B5" t="str">
            <v>Product D</v>
          </cell>
          <cell r="C5">
            <v>90</v>
          </cell>
        </row>
        <row r="6">
          <cell r="A6">
            <v>105</v>
          </cell>
          <cell r="B6" t="str">
            <v>Product E</v>
          </cell>
          <cell r="C6">
            <v>220</v>
          </cell>
        </row>
        <row r="7">
          <cell r="A7">
            <v>106</v>
          </cell>
          <cell r="B7" t="str">
            <v>Product F</v>
          </cell>
          <cell r="C7">
            <v>130</v>
          </cell>
        </row>
        <row r="8">
          <cell r="A8">
            <v>108</v>
          </cell>
          <cell r="B8" t="str">
            <v>product h</v>
          </cell>
          <cell r="C8">
            <v>110</v>
          </cell>
        </row>
      </sheetData>
      <sheetData sheetId="6">
        <row r="1">
          <cell r="B1" t="str">
            <v>Product ID</v>
          </cell>
          <cell r="C1" t="str">
            <v>Quantity</v>
          </cell>
          <cell r="D1" t="str">
            <v>product</v>
          </cell>
        </row>
        <row r="2">
          <cell r="B2">
            <v>101</v>
          </cell>
          <cell r="C2">
            <v>2</v>
          </cell>
          <cell r="D2" t="str">
            <v>Product A</v>
          </cell>
        </row>
        <row r="3">
          <cell r="B3">
            <v>103</v>
          </cell>
          <cell r="C3">
            <v>1</v>
          </cell>
          <cell r="D3" t="str">
            <v>Product C</v>
          </cell>
        </row>
        <row r="4">
          <cell r="B4">
            <v>105</v>
          </cell>
          <cell r="C4">
            <v>4</v>
          </cell>
          <cell r="D4" t="str">
            <v>Product E</v>
          </cell>
        </row>
        <row r="5">
          <cell r="B5">
            <v>106</v>
          </cell>
          <cell r="C5">
            <v>3</v>
          </cell>
          <cell r="D5" t="str">
            <v>Product F</v>
          </cell>
        </row>
        <row r="6">
          <cell r="B6">
            <v>102</v>
          </cell>
          <cell r="C6">
            <v>5</v>
          </cell>
          <cell r="D6" t="str">
            <v>Product B</v>
          </cell>
        </row>
        <row r="7">
          <cell r="B7">
            <v>104</v>
          </cell>
          <cell r="C7">
            <v>6</v>
          </cell>
          <cell r="D7" t="str">
            <v>Product 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A13C-8BC7-4701-B5A2-FAE91698B696}">
  <dimension ref="A1:D8"/>
  <sheetViews>
    <sheetView workbookViewId="0">
      <selection activeCell="F6" sqref="F6"/>
    </sheetView>
  </sheetViews>
  <sheetFormatPr defaultRowHeight="14.5" x14ac:dyDescent="0.35"/>
  <cols>
    <col min="1" max="1" width="9.54296875" bestFit="1" customWidth="1"/>
    <col min="2" max="2" width="9" bestFit="1" customWidth="1"/>
    <col min="4" max="4" width="11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5">
      <c r="A2" s="2">
        <v>101</v>
      </c>
      <c r="B2" s="2" t="s">
        <v>3</v>
      </c>
      <c r="C2" s="2">
        <v>120</v>
      </c>
      <c r="D2" s="2" t="str">
        <f>IF(ISNA(VLOOKUP(A2,[1]Sheet7!$B$1:$D$7,2,0)),"not ordered","order")</f>
        <v>order</v>
      </c>
    </row>
    <row r="3" spans="1:4" x14ac:dyDescent="0.35">
      <c r="A3" s="2">
        <v>102</v>
      </c>
      <c r="B3" s="2" t="s">
        <v>4</v>
      </c>
      <c r="C3" s="2">
        <v>150</v>
      </c>
      <c r="D3" s="2" t="str">
        <f>IF(ISNA(VLOOKUP(A3,[1]Sheet7!$B$1:$D$7,2,0)),"not ordered","order")</f>
        <v>order</v>
      </c>
    </row>
    <row r="4" spans="1:4" x14ac:dyDescent="0.35">
      <c r="A4" s="2">
        <v>103</v>
      </c>
      <c r="B4" s="2" t="s">
        <v>5</v>
      </c>
      <c r="C4" s="2">
        <v>200</v>
      </c>
      <c r="D4" s="2" t="str">
        <f>IF(ISNA(VLOOKUP(A4,[1]Sheet7!$B$1:$D$7,2,0)),"not ordered","order")</f>
        <v>order</v>
      </c>
    </row>
    <row r="5" spans="1:4" x14ac:dyDescent="0.35">
      <c r="A5" s="2">
        <v>104</v>
      </c>
      <c r="B5" s="2" t="s">
        <v>6</v>
      </c>
      <c r="C5" s="2">
        <v>90</v>
      </c>
      <c r="D5" s="2" t="str">
        <f>IF(ISNA(VLOOKUP(A5,[1]Sheet7!$B$1:$D$7,2,0)),"not ordered","order")</f>
        <v>order</v>
      </c>
    </row>
    <row r="6" spans="1:4" x14ac:dyDescent="0.35">
      <c r="A6" s="2">
        <v>105</v>
      </c>
      <c r="B6" s="2" t="s">
        <v>7</v>
      </c>
      <c r="C6" s="2">
        <v>220</v>
      </c>
      <c r="D6" s="2" t="str">
        <f>IF(ISNA(VLOOKUP(A6,[1]Sheet7!$B$1:$D$7,2,0)),"not ordered","order")</f>
        <v>order</v>
      </c>
    </row>
    <row r="7" spans="1:4" x14ac:dyDescent="0.35">
      <c r="A7" s="2">
        <v>106</v>
      </c>
      <c r="B7" s="2" t="s">
        <v>8</v>
      </c>
      <c r="C7" s="2">
        <v>130</v>
      </c>
      <c r="D7" s="2" t="str">
        <f>IF(ISNA(VLOOKUP(A7,[1]Sheet7!$B$1:$D$7,2,0)),"not ordered","order")</f>
        <v>order</v>
      </c>
    </row>
    <row r="8" spans="1:4" x14ac:dyDescent="0.35">
      <c r="A8" s="2">
        <v>108</v>
      </c>
      <c r="B8" s="2" t="s">
        <v>9</v>
      </c>
      <c r="C8" s="2">
        <v>110</v>
      </c>
      <c r="D8" s="2" t="str">
        <f>IF(ISNA(VLOOKUP(A8,[1]Sheet7!$B$1:$D$7,2,0)),"not ordered","order")</f>
        <v>not ordered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A754-A34A-4698-8E0E-D4E49EF6E42B}">
  <dimension ref="A1:Q19"/>
  <sheetViews>
    <sheetView tabSelected="1" workbookViewId="0">
      <selection activeCell="K21" sqref="K21"/>
    </sheetView>
  </sheetViews>
  <sheetFormatPr defaultRowHeight="14.5" x14ac:dyDescent="0.35"/>
  <cols>
    <col min="2" max="2" width="9.54296875" bestFit="1" customWidth="1"/>
    <col min="7" max="7" width="9.81640625" bestFit="1" customWidth="1"/>
    <col min="11" max="11" width="9.6328125" bestFit="1" customWidth="1"/>
    <col min="12" max="12" width="9.90625" bestFit="1" customWidth="1"/>
    <col min="14" max="14" width="9.36328125" bestFit="1" customWidth="1"/>
    <col min="15" max="15" width="11.453125" bestFit="1" customWidth="1"/>
    <col min="17" max="17" width="15.08984375" bestFit="1" customWidth="1"/>
  </cols>
  <sheetData>
    <row r="1" spans="1:17" x14ac:dyDescent="0.35">
      <c r="A1" s="1" t="s">
        <v>10</v>
      </c>
      <c r="B1" s="1" t="s">
        <v>0</v>
      </c>
      <c r="C1" s="1" t="s">
        <v>11</v>
      </c>
      <c r="D1" s="1" t="s">
        <v>1</v>
      </c>
    </row>
    <row r="2" spans="1:17" x14ac:dyDescent="0.35">
      <c r="A2" s="2">
        <v>1</v>
      </c>
      <c r="B2" s="2">
        <v>101</v>
      </c>
      <c r="C2" s="2">
        <v>2</v>
      </c>
      <c r="D2" s="2" t="str">
        <f>VLOOKUP(B2,[1]Sheet6!$A$1:$C$7,2,0)</f>
        <v>Product A</v>
      </c>
      <c r="E2" s="2">
        <f>VLOOKUP(B5,[1]Sheet6!A2:C7,3,0)</f>
        <v>130</v>
      </c>
    </row>
    <row r="3" spans="1:17" x14ac:dyDescent="0.35">
      <c r="A3" s="2">
        <v>2</v>
      </c>
      <c r="B3" s="2">
        <v>103</v>
      </c>
      <c r="C3" s="2">
        <v>1</v>
      </c>
      <c r="D3" s="2" t="str">
        <f>VLOOKUP(B3,[1]Sheet6!$A$1:$C$7,2,0)</f>
        <v>Product C</v>
      </c>
      <c r="F3" s="2">
        <f t="array" ref="F3:G3">VLOOKUP(A3,A2:C7,{2,3},0)</f>
        <v>103</v>
      </c>
      <c r="G3" s="2">
        <v>1</v>
      </c>
      <c r="I3" s="1" t="s">
        <v>1</v>
      </c>
      <c r="J3" s="1" t="s">
        <v>2</v>
      </c>
      <c r="K3" s="1" t="s">
        <v>14</v>
      </c>
      <c r="L3" s="1" t="s">
        <v>13</v>
      </c>
      <c r="M3" s="1" t="s">
        <v>15</v>
      </c>
      <c r="N3" s="1" t="s">
        <v>14</v>
      </c>
      <c r="O3" s="1" t="s">
        <v>18</v>
      </c>
      <c r="Q3" s="3" t="s">
        <v>16</v>
      </c>
    </row>
    <row r="4" spans="1:17" x14ac:dyDescent="0.35">
      <c r="A4" s="2">
        <v>3</v>
      </c>
      <c r="B4" s="2">
        <v>105</v>
      </c>
      <c r="C4" s="2">
        <v>4</v>
      </c>
      <c r="D4" s="2" t="str">
        <f>VLOOKUP(B4,[1]Sheet6!$A$1:$C$7,2,0)</f>
        <v>Product E</v>
      </c>
      <c r="I4" s="2" t="str">
        <f>VLOOKUP(B2,[1]Sheet6!$A$1:$C$7,2,0)</f>
        <v>Product A</v>
      </c>
      <c r="J4" s="2">
        <f>VLOOKUP(B2,[1]Sheet6!$A$1:$C$7,3,0)</f>
        <v>120</v>
      </c>
      <c r="K4" s="2">
        <f t="shared" ref="K4:K9" si="0">PRODUCT(C2*J4)</f>
        <v>240</v>
      </c>
      <c r="L4" s="2" t="str">
        <f>_xlfn.IFNA(VLOOKUP(B2,[1]Sheet6!$A$1:$C$7,2,0),"not exist")</f>
        <v>Product A</v>
      </c>
      <c r="M4" s="2">
        <f t="shared" ref="M4:M9" si="1">J4-(J4*10%)</f>
        <v>108</v>
      </c>
      <c r="N4" s="2">
        <f t="shared" ref="N4:N9" si="2">M4*C2</f>
        <v>216</v>
      </c>
      <c r="O4" s="2" t="str">
        <f>IF(ISNA(VLOOKUP(B2,[1]Sheet6!$A$1:$C$8,2,0)),"not order","order")</f>
        <v>order</v>
      </c>
      <c r="Q4" s="2">
        <f>MAX(K4:K9)</f>
        <v>880</v>
      </c>
    </row>
    <row r="5" spans="1:17" x14ac:dyDescent="0.35">
      <c r="A5" s="2">
        <v>4</v>
      </c>
      <c r="B5" s="2">
        <v>106</v>
      </c>
      <c r="C5" s="2">
        <v>3</v>
      </c>
      <c r="D5" s="2" t="str">
        <f>VLOOKUP(B5,[1]Sheet6!$A$1:$C$7,2,0)</f>
        <v>Product F</v>
      </c>
      <c r="I5" s="2" t="str">
        <f>VLOOKUP(B3,[1]Sheet6!$A$1:$C$7,2,0)</f>
        <v>Product C</v>
      </c>
      <c r="J5" s="2">
        <f>VLOOKUP(B3,[1]Sheet6!$A$1:$C$7,3,0)</f>
        <v>200</v>
      </c>
      <c r="K5" s="2">
        <f t="shared" si="0"/>
        <v>200</v>
      </c>
      <c r="L5" s="2" t="str">
        <f>_xlfn.IFNA(VLOOKUP(B3,[1]Sheet6!$A$1:$C$7,2,0),"not exist")</f>
        <v>Product C</v>
      </c>
      <c r="M5" s="2">
        <f t="shared" si="1"/>
        <v>180</v>
      </c>
      <c r="N5" s="2">
        <f t="shared" si="2"/>
        <v>180</v>
      </c>
      <c r="O5" s="2" t="str">
        <f>IF(ISNA(VLOOKUP(B3,[1]Sheet6!$A$1:$C$8,2,0)),"not order","order")</f>
        <v>order</v>
      </c>
    </row>
    <row r="6" spans="1:17" x14ac:dyDescent="0.35">
      <c r="A6" s="2">
        <v>5</v>
      </c>
      <c r="B6" s="2">
        <v>102</v>
      </c>
      <c r="C6" s="2">
        <v>5</v>
      </c>
      <c r="D6" s="2" t="str">
        <f>VLOOKUP(B6,[1]Sheet6!$A$1:$C$7,2,0)</f>
        <v>Product B</v>
      </c>
      <c r="I6" s="2" t="str">
        <f>VLOOKUP(B4,[1]Sheet6!$A$1:$C$7,2,0)</f>
        <v>Product E</v>
      </c>
      <c r="J6" s="2">
        <f>VLOOKUP(B4,[1]Sheet6!$A$1:$C$7,3,0)</f>
        <v>220</v>
      </c>
      <c r="K6" s="2">
        <f t="shared" si="0"/>
        <v>880</v>
      </c>
      <c r="L6" s="2" t="str">
        <f>_xlfn.IFNA(VLOOKUP(B4,[1]Sheet6!$A$1:$C$7,2,0),"not exist")</f>
        <v>Product E</v>
      </c>
      <c r="M6" s="2">
        <f t="shared" si="1"/>
        <v>198</v>
      </c>
      <c r="N6" s="2">
        <f t="shared" si="2"/>
        <v>792</v>
      </c>
      <c r="O6" s="2" t="str">
        <f>IF(ISNA(VLOOKUP(B4,[1]Sheet6!$A$1:$C$8,2,0)),"not order","order")</f>
        <v>order</v>
      </c>
    </row>
    <row r="7" spans="1:17" x14ac:dyDescent="0.35">
      <c r="A7" s="2">
        <v>6</v>
      </c>
      <c r="B7" s="2">
        <v>104</v>
      </c>
      <c r="C7" s="2">
        <v>6</v>
      </c>
      <c r="D7" s="2" t="str">
        <f>VLOOKUP(B7,[1]Sheet6!$A$1:$C$7,2,0)</f>
        <v>Product D</v>
      </c>
      <c r="I7" s="2" t="str">
        <f>VLOOKUP(B5,[1]Sheet6!$A$1:$C$7,2,0)</f>
        <v>Product F</v>
      </c>
      <c r="J7" s="2">
        <f>VLOOKUP(B5,[1]Sheet6!$A$1:$C$7,3,0)</f>
        <v>130</v>
      </c>
      <c r="K7" s="2">
        <f t="shared" si="0"/>
        <v>390</v>
      </c>
      <c r="L7" s="2" t="str">
        <f>_xlfn.IFNA(VLOOKUP(B5,[1]Sheet6!$A$1:$C$7,2,0),"not exist")</f>
        <v>Product F</v>
      </c>
      <c r="M7" s="2">
        <f t="shared" si="1"/>
        <v>117</v>
      </c>
      <c r="N7" s="2">
        <f t="shared" si="2"/>
        <v>351</v>
      </c>
      <c r="O7" s="2" t="str">
        <f>IF(ISNA(VLOOKUP(B5,[1]Sheet6!$A$1:$C$8,2,0)),"not order","order")</f>
        <v>order</v>
      </c>
    </row>
    <row r="8" spans="1:17" x14ac:dyDescent="0.35">
      <c r="A8" s="2">
        <v>7</v>
      </c>
      <c r="B8" s="2">
        <v>107</v>
      </c>
      <c r="C8" s="2"/>
      <c r="D8" s="2" t="s">
        <v>12</v>
      </c>
      <c r="G8" s="1" t="s">
        <v>13</v>
      </c>
      <c r="I8" s="2" t="str">
        <f>VLOOKUP(B6,[1]Sheet6!$A$1:$C$7,2,0)</f>
        <v>Product B</v>
      </c>
      <c r="J8" s="2">
        <f>VLOOKUP(B6,[1]Sheet6!$A$1:$C$7,3,0)</f>
        <v>150</v>
      </c>
      <c r="K8" s="2">
        <f t="shared" si="0"/>
        <v>750</v>
      </c>
      <c r="L8" s="2" t="str">
        <f>_xlfn.IFNA(VLOOKUP(B6,[1]Sheet6!$A$1:$C$7,2,0),"not exist")</f>
        <v>Product B</v>
      </c>
      <c r="M8" s="2">
        <f t="shared" si="1"/>
        <v>135</v>
      </c>
      <c r="N8" s="2">
        <f t="shared" si="2"/>
        <v>675</v>
      </c>
      <c r="O8" s="2" t="str">
        <f>IF(ISNA(VLOOKUP(B6,[1]Sheet6!$A$1:$C$8,2,0)),"not order","order")</f>
        <v>order</v>
      </c>
    </row>
    <row r="9" spans="1:17" x14ac:dyDescent="0.35">
      <c r="G9" s="2" t="str">
        <f>IF(ISNA(VLOOKUP(B2,B1:D7,3,0)),"not found","found")</f>
        <v>found</v>
      </c>
      <c r="I9" s="2" t="str">
        <f>VLOOKUP(B7,[1]Sheet6!$A$1:$C$7,2,0)</f>
        <v>Product D</v>
      </c>
      <c r="J9" s="2">
        <f>VLOOKUP(B7,[1]Sheet6!$A$1:$C$7,3,0)</f>
        <v>90</v>
      </c>
      <c r="K9" s="2">
        <f t="shared" si="0"/>
        <v>540</v>
      </c>
      <c r="L9" s="2" t="str">
        <f>_xlfn.IFNA(VLOOKUP(B7,[1]Sheet6!$A$1:$C$7,2,0),"not exist")</f>
        <v>Product D</v>
      </c>
      <c r="M9" s="2">
        <f t="shared" si="1"/>
        <v>81</v>
      </c>
      <c r="N9" s="2">
        <f t="shared" si="2"/>
        <v>486</v>
      </c>
      <c r="O9" s="2" t="str">
        <f>IF(ISNA(VLOOKUP(B7,[1]Sheet6!$A$1:$C$8,2,0)),"not order","order")</f>
        <v>order</v>
      </c>
    </row>
    <row r="10" spans="1:17" x14ac:dyDescent="0.35">
      <c r="G10" s="2" t="str">
        <f t="shared" ref="G10:G15" si="3">IF(ISNA(VLOOKUP(B3,B2:D8,3,0)),"not found","found")</f>
        <v>found</v>
      </c>
      <c r="I10" s="2"/>
      <c r="J10" s="2"/>
      <c r="K10" s="2"/>
      <c r="L10" s="2" t="str">
        <f>_xlfn.IFNA(VLOOKUP(B8,[1]Sheet6!$A$1:$C$7,2,0),"not exist")</f>
        <v>not exist</v>
      </c>
      <c r="M10" s="2"/>
      <c r="N10" s="2"/>
      <c r="O10" s="2" t="str">
        <f>IF(ISNA(VLOOKUP(B8,[1]Sheet6!$A$1:$C$8,2,0)),"not order","order")</f>
        <v>not order</v>
      </c>
    </row>
    <row r="11" spans="1:17" x14ac:dyDescent="0.35">
      <c r="C11" s="4" t="s">
        <v>17</v>
      </c>
      <c r="D11" s="4"/>
      <c r="G11" s="2" t="str">
        <f t="shared" si="3"/>
        <v>found</v>
      </c>
      <c r="O11" s="2" t="str">
        <f>IF(ISNA(VLOOKUP(B9,[1]Sheet6!$A$1:$C$8,2,0)),"not order","order")</f>
        <v>not order</v>
      </c>
    </row>
    <row r="12" spans="1:17" x14ac:dyDescent="0.35">
      <c r="C12" s="1" t="s">
        <v>11</v>
      </c>
      <c r="D12" s="1" t="s">
        <v>1</v>
      </c>
      <c r="G12" s="2" t="str">
        <f t="shared" si="3"/>
        <v>found</v>
      </c>
    </row>
    <row r="13" spans="1:17" x14ac:dyDescent="0.35">
      <c r="C13" s="2">
        <f t="array" ref="C13:D13">VLOOKUP(B2,B1:D7,{2,3},0)</f>
        <v>2</v>
      </c>
      <c r="D13" s="2" t="str">
        <v>Product A</v>
      </c>
      <c r="G13" s="2" t="str">
        <f>IF(ISNA(VLOOKUP(B6,B5:D10,3,0)),"not found","found")</f>
        <v>found</v>
      </c>
      <c r="L13" s="2" t="b">
        <f t="shared" ref="L13:L19" si="4">ISNA(VLOOKUP(B2,B1:D7,3,0))</f>
        <v>0</v>
      </c>
    </row>
    <row r="14" spans="1:17" x14ac:dyDescent="0.35">
      <c r="C14" s="2">
        <f t="array" ref="C14:D14">VLOOKUP(B3,B2:D8,{2,3},0)</f>
        <v>1</v>
      </c>
      <c r="D14" s="2" t="str">
        <v>Product C</v>
      </c>
      <c r="G14" s="2" t="str">
        <f>IF(ISNA(VLOOKUP(B7,B6:D10,3,0)),"not found","found")</f>
        <v>found</v>
      </c>
      <c r="L14" s="2" t="b">
        <f t="shared" si="4"/>
        <v>0</v>
      </c>
    </row>
    <row r="15" spans="1:17" x14ac:dyDescent="0.35">
      <c r="C15" s="2">
        <f t="array" ref="C15:D15">VLOOKUP(B4,B3:D9,{2,3},0)</f>
        <v>4</v>
      </c>
      <c r="D15" s="2" t="str">
        <v>Product E</v>
      </c>
      <c r="G15" s="2" t="str">
        <f>IF(ISNA(VLOOKUP(B8,B7:D10,3,0)),"not found","found")</f>
        <v>found</v>
      </c>
      <c r="L15" s="2" t="b">
        <f t="shared" si="4"/>
        <v>0</v>
      </c>
    </row>
    <row r="16" spans="1:17" x14ac:dyDescent="0.35">
      <c r="C16" s="2">
        <f t="array" ref="C16:D16">VLOOKUP(B5,B4:D10,{2,3},0)</f>
        <v>3</v>
      </c>
      <c r="D16" s="2" t="str">
        <v>Product F</v>
      </c>
      <c r="L16" s="2" t="b">
        <f t="shared" si="4"/>
        <v>0</v>
      </c>
    </row>
    <row r="17" spans="3:12" x14ac:dyDescent="0.35">
      <c r="C17" s="2">
        <f t="array" ref="C17:D17">VLOOKUP(B6,B5:D10,{2,3},0)</f>
        <v>5</v>
      </c>
      <c r="D17" s="2" t="str">
        <v>Product B</v>
      </c>
      <c r="L17" s="2" t="b">
        <f>ISNA(VLOOKUP(B6,B5:D10,3,0))</f>
        <v>0</v>
      </c>
    </row>
    <row r="18" spans="3:12" x14ac:dyDescent="0.35">
      <c r="C18" s="2">
        <f t="array" ref="C18:D18">VLOOKUP(B7,B6:D10,{2,3},0)</f>
        <v>6</v>
      </c>
      <c r="D18" s="2" t="str">
        <v>Product D</v>
      </c>
      <c r="L18" s="2" t="b">
        <f>ISNA(VLOOKUP(B7,B6:D10,3,0))</f>
        <v>0</v>
      </c>
    </row>
    <row r="19" spans="3:12" x14ac:dyDescent="0.35">
      <c r="C19" s="2">
        <f t="array" ref="C19:D19">VLOOKUP(B8,B7:D10,{2,3},0)</f>
        <v>0</v>
      </c>
      <c r="D19" s="2" t="str">
        <v>product g</v>
      </c>
      <c r="L19" s="2" t="b">
        <f>ISNA(VLOOKUP(B8,B7:D10,3,0))</f>
        <v>0</v>
      </c>
    </row>
  </sheetData>
  <mergeCells count="1"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2026-01-12T16:47:12Z</dcterms:created>
  <dcterms:modified xsi:type="dcterms:W3CDTF">2026-01-12T16:57:24Z</dcterms:modified>
</cp:coreProperties>
</file>