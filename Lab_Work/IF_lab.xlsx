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2ff9032dd488a969/Desktop/Anudip/Lab/"/>
    </mc:Choice>
  </mc:AlternateContent>
  <xr:revisionPtr revIDLastSave="3" documentId="11_9E87618DDD7FE7CFCD45AB801E1D072646CA2284" xr6:coauthVersionLast="47" xr6:coauthVersionMax="47" xr10:uidLastSave="{204013DF-B066-4474-8E1F-29CFEB59C24B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I91" i="1"/>
  <c r="I90" i="1"/>
  <c r="I89" i="1"/>
  <c r="I88" i="1"/>
  <c r="I87" i="1"/>
  <c r="I82" i="1"/>
  <c r="I81" i="1"/>
  <c r="I80" i="1"/>
  <c r="I79" i="1"/>
  <c r="I78" i="1"/>
  <c r="I77" i="1"/>
  <c r="I72" i="1" a="1"/>
  <c r="I72" i="1"/>
  <c r="I71" i="1" a="1"/>
  <c r="I71" i="1"/>
  <c r="I70" i="1" a="1"/>
  <c r="I70" i="1"/>
  <c r="I69" i="1" a="1"/>
  <c r="I69" i="1"/>
  <c r="I68" i="1" a="1"/>
  <c r="I68" i="1"/>
  <c r="I67" i="1" a="1"/>
  <c r="I67" i="1"/>
  <c r="I62" i="1"/>
  <c r="I61" i="1"/>
  <c r="I60" i="1"/>
  <c r="I59" i="1"/>
  <c r="I58" i="1"/>
  <c r="I57" i="1"/>
  <c r="J52" i="1"/>
  <c r="I52" i="1"/>
  <c r="J51" i="1"/>
  <c r="I51" i="1"/>
  <c r="J50" i="1"/>
  <c r="I50" i="1"/>
  <c r="J49" i="1"/>
  <c r="I49" i="1"/>
  <c r="J48" i="1"/>
  <c r="I48" i="1"/>
  <c r="J47" i="1"/>
  <c r="I47" i="1"/>
  <c r="I42" i="1"/>
  <c r="I41" i="1"/>
  <c r="I40" i="1"/>
  <c r="I39" i="1"/>
  <c r="I38" i="1"/>
  <c r="I37" i="1"/>
  <c r="I32" i="1"/>
  <c r="I31" i="1"/>
  <c r="I30" i="1"/>
  <c r="I29" i="1"/>
  <c r="I28" i="1"/>
  <c r="I27" i="1"/>
  <c r="I22" i="1"/>
  <c r="I21" i="1"/>
  <c r="I20" i="1"/>
  <c r="I19" i="1"/>
  <c r="I18" i="1"/>
  <c r="I17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<sst xmlns="http://schemas.openxmlformats.org/spreadsheetml/2006/main" count="178" uniqueCount="32">
  <si>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</si>
  <si>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</si>
  <si>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</si>
  <si>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</si>
  <si>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</si>
  <si>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</si>
  <si>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</si>
  <si>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</si>
  <si>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</si>
  <si>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1. Use the IF function to evaluate whether each product met its sales target.</t>
  </si>
  <si>
    <t>Product C</t>
  </si>
  <si>
    <t>East</t>
  </si>
  <si>
    <t>2. Use the IF function to determine if a product is eligible for a regional bonus. Products in the "North" region with sales over 200 are eligible.</t>
  </si>
  <si>
    <t>Product D</t>
  </si>
  <si>
    <t>West</t>
  </si>
  <si>
    <t>3. Use nested IF functions to assign a commission rate based on sales. Sales &gt;= 200 get a 10% commission, sales &gt;= 150 get a 7% commission, and others get a 5 commission.</t>
  </si>
  <si>
    <t>Product E</t>
  </si>
  <si>
    <t>4. Use the IF function to calculate a bonus amount. If sales met or exceeded the target, the bonus is 10% of the sales; otherwise, it's 5%.</t>
  </si>
  <si>
    <t>Product F</t>
  </si>
  <si>
    <t>5. Use the IF function to categorize sales performance as "Excellent" (&gt;=200), "Good" (&gt;=150), or "Needs Improvement" (&lt;150).</t>
  </si>
  <si>
    <t>6. Use the IF function to assign a price tier based on the sales value. "High" for sales &gt; 200, "Medium" for sales between 100 and 200, and "Low" for sales &lt; 100.</t>
  </si>
  <si>
    <t>7. Use the IF function to calculate the year-end bonus. If sales &gt;= 150 and region is "North", the bonus is $500, otherwise, it's $300.</t>
  </si>
  <si>
    <t>8. Use the IF function to mark high performers. A product is a high performer if its sales are in the top 25% of all sales.</t>
  </si>
  <si>
    <t>Target Met</t>
  </si>
  <si>
    <t>Regional Bonus</t>
  </si>
  <si>
    <t>Commission</t>
  </si>
  <si>
    <t>Bonus</t>
  </si>
  <si>
    <t>Amount</t>
  </si>
  <si>
    <t>Performance</t>
  </si>
  <si>
    <t>Price Tier</t>
  </si>
  <si>
    <t>Year-End Bonus</t>
  </si>
  <si>
    <t>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</si>
</sst>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0" borderId="0" xfId="0" applyFont="1">
      <alignment vertical="center"/>
    </xf>
    <xf numFmtId="0" fontId="0" fillId="2" borderId="1" xfId="0" applyFill="1" applyBorder="1">
      <alignment vertical="center"/>
    </xf>
    <xf numFmtId="0" fontId="1" fillId="4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topLeftCell="A21" workbookViewId="0">
      <selection activeCell="H3" sqref="H3:H10"/>
    </sheetView>
  </sheetViews>
  <sheetFormatPr defaultColWidth="9.1796875" defaultRowHeight="14.5"/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9">
      <c r="A2" s="6">
        <v>101</v>
      </c>
      <c r="B2" s="6" t="s">
        <v>5</v>
      </c>
      <c r="C2" s="6">
        <v>120</v>
      </c>
      <c r="D2" s="6">
        <v>150</v>
      </c>
      <c r="E2" s="6" t="s">
        <v>6</v>
      </c>
    </row>
    <row r="3" spans="1:9">
      <c r="A3" s="6">
        <v>102</v>
      </c>
      <c r="B3" s="6" t="s">
        <v>7</v>
      </c>
      <c r="C3" s="6">
        <v>150</v>
      </c>
      <c r="D3" s="6">
        <v>140</v>
      </c>
      <c r="E3" s="6" t="s">
        <v>8</v>
      </c>
      <c r="H3" s="7" t="s">
        <v>9</v>
      </c>
    </row>
    <row r="4" spans="1:9">
      <c r="A4" s="6">
        <v>103</v>
      </c>
      <c r="B4" s="6" t="s">
        <v>10</v>
      </c>
      <c r="C4" s="6">
        <v>200</v>
      </c>
      <c r="D4" s="6">
        <v>200</v>
      </c>
      <c r="E4" s="6" t="s">
        <v>11</v>
      </c>
      <c r="H4" s="7" t="s">
        <v>12</v>
      </c>
    </row>
    <row r="5" spans="1:9">
      <c r="A5" s="6">
        <v>104</v>
      </c>
      <c r="B5" s="6" t="s">
        <v>13</v>
      </c>
      <c r="C5" s="6">
        <v>90</v>
      </c>
      <c r="D5" s="6">
        <v>100</v>
      </c>
      <c r="E5" s="6" t="s">
        <v>14</v>
      </c>
      <c r="H5" s="7" t="s">
        <v>15</v>
      </c>
    </row>
    <row r="6" spans="1:9">
      <c r="A6" s="6">
        <v>105</v>
      </c>
      <c r="B6" s="6" t="s">
        <v>16</v>
      </c>
      <c r="C6" s="6">
        <v>220</v>
      </c>
      <c r="D6" s="6">
        <v>210</v>
      </c>
      <c r="E6" s="6" t="s">
        <v>6</v>
      </c>
      <c r="H6" s="7" t="s">
        <v>17</v>
      </c>
    </row>
    <row r="7" spans="1:9">
      <c r="A7" s="6">
        <v>106</v>
      </c>
      <c r="B7" s="6" t="s">
        <v>18</v>
      </c>
      <c r="C7" s="6">
        <v>130</v>
      </c>
      <c r="D7" s="6">
        <v>160</v>
      </c>
      <c r="E7" s="6" t="s">
        <v>8</v>
      </c>
      <c r="H7" s="7" t="s">
        <v>19</v>
      </c>
    </row>
    <row r="8" spans="1:9">
      <c r="H8" s="7" t="s">
        <v>20</v>
      </c>
    </row>
    <row r="9" spans="1:9">
      <c r="H9" s="7" t="s">
        <v>21</v>
      </c>
    </row>
    <row r="10" spans="1:9">
      <c r="H10" s="7" t="s">
        <v>22</v>
      </c>
    </row>
    <row r="14" spans="1:9">
      <c r="C14" s="3" t="s">
        <v>9</v>
      </c>
    </row>
    <row r="16" spans="1:9">
      <c r="D16" s="1" t="s">
        <v>0</v>
      </c>
      <c r="E16" s="1" t="s">
        <v>1</v>
      </c>
      <c r="F16" s="1" t="s">
        <v>2</v>
      </c>
      <c r="G16" s="1" t="s">
        <v>3</v>
      </c>
      <c r="H16" s="1" t="s">
        <v>4</v>
      </c>
      <c r="I16" s="1" t="s">
        <v>23</v>
      </c>
    </row>
    <row r="17" spans="3:9">
      <c r="D17" s="2">
        <v>101</v>
      </c>
      <c r="E17" s="2" t="s">
        <v>5</v>
      </c>
      <c r="F17" s="2">
        <v>120</v>
      </c>
      <c r="G17" s="2">
        <v>150</v>
      </c>
      <c r="H17" s="2" t="s">
        <v>6</v>
      </c>
      <c r="I17" s="2" t="str">
        <f t="shared" ref="I17:I22" si="0">IF(F17&gt;=G17,"Yes","No")</f>
        <v>No</v>
      </c>
    </row>
    <row r="18" spans="3:9">
      <c r="D18" s="2">
        <v>102</v>
      </c>
      <c r="E18" s="2" t="s">
        <v>7</v>
      </c>
      <c r="F18" s="2">
        <v>150</v>
      </c>
      <c r="G18" s="2">
        <v>140</v>
      </c>
      <c r="H18" s="2" t="s">
        <v>8</v>
      </c>
      <c r="I18" s="2" t="str">
        <f t="shared" si="0"/>
        <v>Yes</v>
      </c>
    </row>
    <row r="19" spans="3:9">
      <c r="D19" s="2">
        <v>103</v>
      </c>
      <c r="E19" s="2" t="s">
        <v>10</v>
      </c>
      <c r="F19" s="2">
        <v>200</v>
      </c>
      <c r="G19" s="2">
        <v>200</v>
      </c>
      <c r="H19" s="2" t="s">
        <v>11</v>
      </c>
      <c r="I19" s="2" t="str">
        <f t="shared" si="0"/>
        <v>Yes</v>
      </c>
    </row>
    <row r="20" spans="3:9">
      <c r="D20" s="2">
        <v>104</v>
      </c>
      <c r="E20" s="2" t="s">
        <v>13</v>
      </c>
      <c r="F20" s="2">
        <v>90</v>
      </c>
      <c r="G20" s="2">
        <v>100</v>
      </c>
      <c r="H20" s="2" t="s">
        <v>14</v>
      </c>
      <c r="I20" s="2" t="str">
        <f t="shared" si="0"/>
        <v>No</v>
      </c>
    </row>
    <row r="21" spans="3:9">
      <c r="D21" s="2">
        <v>105</v>
      </c>
      <c r="E21" s="2" t="s">
        <v>16</v>
      </c>
      <c r="F21" s="2">
        <v>220</v>
      </c>
      <c r="G21" s="2">
        <v>210</v>
      </c>
      <c r="H21" s="2" t="s">
        <v>6</v>
      </c>
      <c r="I21" s="2" t="str">
        <f t="shared" si="0"/>
        <v>Yes</v>
      </c>
    </row>
    <row r="22" spans="3:9">
      <c r="D22" s="2">
        <v>106</v>
      </c>
      <c r="E22" s="2" t="s">
        <v>18</v>
      </c>
      <c r="F22" s="2">
        <v>130</v>
      </c>
      <c r="G22" s="2">
        <v>160</v>
      </c>
      <c r="H22" s="2" t="s">
        <v>8</v>
      </c>
      <c r="I22" s="2" t="str">
        <f t="shared" si="0"/>
        <v>No</v>
      </c>
    </row>
    <row r="24" spans="3:9">
      <c r="C24" s="3" t="s">
        <v>12</v>
      </c>
    </row>
    <row r="26" spans="3:9">
      <c r="D26" s="1" t="s">
        <v>0</v>
      </c>
      <c r="E26" s="1" t="s">
        <v>1</v>
      </c>
      <c r="F26" s="1" t="s">
        <v>2</v>
      </c>
      <c r="G26" s="1" t="s">
        <v>3</v>
      </c>
      <c r="H26" s="1" t="s">
        <v>4</v>
      </c>
      <c r="I26" s="1" t="s">
        <v>24</v>
      </c>
    </row>
    <row r="27" spans="3:9">
      <c r="D27" s="2">
        <v>101</v>
      </c>
      <c r="E27" s="2" t="s">
        <v>5</v>
      </c>
      <c r="F27" s="2">
        <v>120</v>
      </c>
      <c r="G27" s="2">
        <v>150</v>
      </c>
      <c r="H27" s="2" t="s">
        <v>6</v>
      </c>
      <c r="I27" s="2" t="str">
        <f t="shared" ref="I27:I32" si="1">IF(AND(H27="North",F27&gt;200),"Eligible","Not Eligible")</f>
        <v>Not Eligible</v>
      </c>
    </row>
    <row r="28" spans="3:9">
      <c r="D28" s="2">
        <v>102</v>
      </c>
      <c r="E28" s="2" t="s">
        <v>7</v>
      </c>
      <c r="F28" s="2">
        <v>150</v>
      </c>
      <c r="G28" s="2">
        <v>140</v>
      </c>
      <c r="H28" s="2" t="s">
        <v>8</v>
      </c>
      <c r="I28" s="2" t="str">
        <f t="shared" si="1"/>
        <v>Not Eligible</v>
      </c>
    </row>
    <row r="29" spans="3:9">
      <c r="D29" s="2">
        <v>103</v>
      </c>
      <c r="E29" s="2" t="s">
        <v>10</v>
      </c>
      <c r="F29" s="2">
        <v>200</v>
      </c>
      <c r="G29" s="2">
        <v>200</v>
      </c>
      <c r="H29" s="2" t="s">
        <v>11</v>
      </c>
      <c r="I29" s="2" t="str">
        <f t="shared" si="1"/>
        <v>Not Eligible</v>
      </c>
    </row>
    <row r="30" spans="3:9">
      <c r="D30" s="2">
        <v>104</v>
      </c>
      <c r="E30" s="2" t="s">
        <v>13</v>
      </c>
      <c r="F30" s="2">
        <v>90</v>
      </c>
      <c r="G30" s="2">
        <v>100</v>
      </c>
      <c r="H30" s="2" t="s">
        <v>14</v>
      </c>
      <c r="I30" s="2" t="str">
        <f t="shared" si="1"/>
        <v>Not Eligible</v>
      </c>
    </row>
    <row r="31" spans="3:9">
      <c r="D31" s="2">
        <v>105</v>
      </c>
      <c r="E31" s="2" t="s">
        <v>16</v>
      </c>
      <c r="F31" s="2">
        <v>220</v>
      </c>
      <c r="G31" s="2">
        <v>210</v>
      </c>
      <c r="H31" s="2" t="s">
        <v>6</v>
      </c>
      <c r="I31" s="2" t="str">
        <f t="shared" si="1"/>
        <v>Eligible</v>
      </c>
    </row>
    <row r="32" spans="3:9">
      <c r="D32" s="2">
        <v>106</v>
      </c>
      <c r="E32" s="2" t="s">
        <v>18</v>
      </c>
      <c r="F32" s="2">
        <v>130</v>
      </c>
      <c r="G32" s="2">
        <v>160</v>
      </c>
      <c r="H32" s="2" t="s">
        <v>8</v>
      </c>
      <c r="I32" s="2" t="str">
        <f t="shared" si="1"/>
        <v>Not Eligible</v>
      </c>
    </row>
    <row r="34" spans="3:10">
      <c r="C34" s="3" t="s">
        <v>15</v>
      </c>
    </row>
    <row r="36" spans="3:10">
      <c r="D36" s="1" t="s">
        <v>0</v>
      </c>
      <c r="E36" s="1" t="s">
        <v>1</v>
      </c>
      <c r="F36" s="1" t="s">
        <v>2</v>
      </c>
      <c r="G36" s="1" t="s">
        <v>3</v>
      </c>
      <c r="H36" s="1" t="s">
        <v>4</v>
      </c>
      <c r="I36" s="1" t="s">
        <v>25</v>
      </c>
    </row>
    <row r="37" spans="3:10">
      <c r="D37" s="2">
        <v>101</v>
      </c>
      <c r="E37" s="2" t="s">
        <v>5</v>
      </c>
      <c r="F37" s="2">
        <v>120</v>
      </c>
      <c r="G37" s="2">
        <v>150</v>
      </c>
      <c r="H37" s="2" t="s">
        <v>6</v>
      </c>
      <c r="I37" s="2" t="str">
        <f t="shared" ref="I37:I42" si="2">IF(F37&gt;=200,"10%",IF(F37&gt;=150,"7%","5%"))</f>
        <v>5%</v>
      </c>
    </row>
    <row r="38" spans="3:10">
      <c r="D38" s="2">
        <v>102</v>
      </c>
      <c r="E38" s="2" t="s">
        <v>7</v>
      </c>
      <c r="F38" s="2">
        <v>150</v>
      </c>
      <c r="G38" s="2">
        <v>140</v>
      </c>
      <c r="H38" s="2" t="s">
        <v>8</v>
      </c>
      <c r="I38" s="2" t="str">
        <f t="shared" si="2"/>
        <v>7%</v>
      </c>
    </row>
    <row r="39" spans="3:10">
      <c r="D39" s="2">
        <v>103</v>
      </c>
      <c r="E39" s="2" t="s">
        <v>10</v>
      </c>
      <c r="F39" s="2">
        <v>200</v>
      </c>
      <c r="G39" s="2">
        <v>200</v>
      </c>
      <c r="H39" s="2" t="s">
        <v>11</v>
      </c>
      <c r="I39" s="2" t="str">
        <f t="shared" si="2"/>
        <v>10%</v>
      </c>
    </row>
    <row r="40" spans="3:10">
      <c r="D40" s="2">
        <v>104</v>
      </c>
      <c r="E40" s="2" t="s">
        <v>13</v>
      </c>
      <c r="F40" s="2">
        <v>90</v>
      </c>
      <c r="G40" s="2">
        <v>100</v>
      </c>
      <c r="H40" s="2" t="s">
        <v>14</v>
      </c>
      <c r="I40" s="2" t="str">
        <f t="shared" si="2"/>
        <v>5%</v>
      </c>
    </row>
    <row r="41" spans="3:10">
      <c r="D41" s="2">
        <v>105</v>
      </c>
      <c r="E41" s="2" t="s">
        <v>16</v>
      </c>
      <c r="F41" s="2">
        <v>220</v>
      </c>
      <c r="G41" s="2">
        <v>210</v>
      </c>
      <c r="H41" s="2" t="s">
        <v>6</v>
      </c>
      <c r="I41" s="2" t="str">
        <f t="shared" si="2"/>
        <v>10%</v>
      </c>
    </row>
    <row r="42" spans="3:10">
      <c r="D42" s="2">
        <v>106</v>
      </c>
      <c r="E42" s="2" t="s">
        <v>18</v>
      </c>
      <c r="F42" s="2">
        <v>130</v>
      </c>
      <c r="G42" s="2">
        <v>160</v>
      </c>
      <c r="H42" s="2" t="s">
        <v>8</v>
      </c>
      <c r="I42" s="2" t="str">
        <f t="shared" si="2"/>
        <v>5%</v>
      </c>
    </row>
    <row r="44" spans="3:10">
      <c r="C44" s="3" t="s">
        <v>17</v>
      </c>
    </row>
    <row r="46" spans="3:10">
      <c r="D46" s="1" t="s">
        <v>0</v>
      </c>
      <c r="E46" s="1" t="s">
        <v>1</v>
      </c>
      <c r="F46" s="1" t="s">
        <v>2</v>
      </c>
      <c r="G46" s="1" t="s">
        <v>3</v>
      </c>
      <c r="H46" s="1" t="s">
        <v>4</v>
      </c>
      <c r="I46" s="1" t="s">
        <v>26</v>
      </c>
      <c r="J46" s="4" t="s">
        <v>27</v>
      </c>
    </row>
    <row r="47" spans="3:10">
      <c r="D47" s="2">
        <v>101</v>
      </c>
      <c r="E47" s="2" t="s">
        <v>5</v>
      </c>
      <c r="F47" s="2">
        <v>120</v>
      </c>
      <c r="G47" s="2">
        <v>150</v>
      </c>
      <c r="H47" s="2" t="s">
        <v>6</v>
      </c>
      <c r="I47" s="2" t="str">
        <f t="shared" ref="I47:I52" si="3">IF(F47&gt;=G47,"10%","5%")</f>
        <v>5%</v>
      </c>
      <c r="J47" s="2">
        <f t="shared" ref="J47:J52" si="4">F47*I47</f>
        <v>6</v>
      </c>
    </row>
    <row r="48" spans="3:10">
      <c r="D48" s="2">
        <v>102</v>
      </c>
      <c r="E48" s="2" t="s">
        <v>7</v>
      </c>
      <c r="F48" s="2">
        <v>150</v>
      </c>
      <c r="G48" s="2">
        <v>140</v>
      </c>
      <c r="H48" s="2" t="s">
        <v>8</v>
      </c>
      <c r="I48" s="2" t="str">
        <f t="shared" si="3"/>
        <v>10%</v>
      </c>
      <c r="J48" s="2">
        <f t="shared" si="4"/>
        <v>15</v>
      </c>
    </row>
    <row r="49" spans="3:10">
      <c r="D49" s="2">
        <v>103</v>
      </c>
      <c r="E49" s="2" t="s">
        <v>10</v>
      </c>
      <c r="F49" s="2">
        <v>200</v>
      </c>
      <c r="G49" s="2">
        <v>200</v>
      </c>
      <c r="H49" s="2" t="s">
        <v>11</v>
      </c>
      <c r="I49" s="2" t="str">
        <f t="shared" si="3"/>
        <v>10%</v>
      </c>
      <c r="J49" s="2">
        <f t="shared" si="4"/>
        <v>20</v>
      </c>
    </row>
    <row r="50" spans="3:10">
      <c r="D50" s="2">
        <v>104</v>
      </c>
      <c r="E50" s="2" t="s">
        <v>13</v>
      </c>
      <c r="F50" s="2">
        <v>90</v>
      </c>
      <c r="G50" s="2">
        <v>100</v>
      </c>
      <c r="H50" s="2" t="s">
        <v>14</v>
      </c>
      <c r="I50" s="2" t="str">
        <f t="shared" si="3"/>
        <v>5%</v>
      </c>
      <c r="J50" s="2">
        <f t="shared" si="4"/>
        <v>4.5</v>
      </c>
    </row>
    <row r="51" spans="3:10">
      <c r="D51" s="2">
        <v>105</v>
      </c>
      <c r="E51" s="2" t="s">
        <v>16</v>
      </c>
      <c r="F51" s="2">
        <v>220</v>
      </c>
      <c r="G51" s="2">
        <v>210</v>
      </c>
      <c r="H51" s="2" t="s">
        <v>6</v>
      </c>
      <c r="I51" s="2" t="str">
        <f t="shared" si="3"/>
        <v>10%</v>
      </c>
      <c r="J51" s="2">
        <f t="shared" si="4"/>
        <v>22</v>
      </c>
    </row>
    <row r="52" spans="3:10">
      <c r="D52" s="2">
        <v>106</v>
      </c>
      <c r="E52" s="2" t="s">
        <v>18</v>
      </c>
      <c r="F52" s="2">
        <v>130</v>
      </c>
      <c r="G52" s="2">
        <v>160</v>
      </c>
      <c r="H52" s="2" t="s">
        <v>8</v>
      </c>
      <c r="I52" s="2" t="str">
        <f t="shared" si="3"/>
        <v>5%</v>
      </c>
      <c r="J52" s="2">
        <f t="shared" si="4"/>
        <v>6.5</v>
      </c>
    </row>
    <row r="54" spans="3:10">
      <c r="C54" s="3" t="s">
        <v>19</v>
      </c>
    </row>
    <row r="56" spans="3:10">
      <c r="D56" s="1" t="s">
        <v>0</v>
      </c>
      <c r="E56" s="1" t="s">
        <v>1</v>
      </c>
      <c r="F56" s="1" t="s">
        <v>2</v>
      </c>
      <c r="G56" s="1" t="s">
        <v>3</v>
      </c>
      <c r="H56" s="1" t="s">
        <v>4</v>
      </c>
      <c r="I56" s="1" t="s">
        <v>28</v>
      </c>
    </row>
    <row r="57" spans="3:10">
      <c r="D57" s="2">
        <v>101</v>
      </c>
      <c r="E57" s="2" t="s">
        <v>5</v>
      </c>
      <c r="F57" s="2">
        <v>120</v>
      </c>
      <c r="G57" s="2">
        <v>150</v>
      </c>
      <c r="H57" s="2" t="s">
        <v>6</v>
      </c>
      <c r="I57" s="2" t="str">
        <f t="shared" ref="I57:I62" si="5">IF(F57&gt;=200,"Excellent",IF(F57&gt;=150,"Good","Needs Improvement"))</f>
        <v>Needs Improvement</v>
      </c>
    </row>
    <row r="58" spans="3:10">
      <c r="D58" s="2">
        <v>102</v>
      </c>
      <c r="E58" s="2" t="s">
        <v>7</v>
      </c>
      <c r="F58" s="2">
        <v>150</v>
      </c>
      <c r="G58" s="2">
        <v>140</v>
      </c>
      <c r="H58" s="2" t="s">
        <v>8</v>
      </c>
      <c r="I58" s="2" t="str">
        <f t="shared" si="5"/>
        <v>Good</v>
      </c>
    </row>
    <row r="59" spans="3:10">
      <c r="D59" s="2">
        <v>103</v>
      </c>
      <c r="E59" s="2" t="s">
        <v>10</v>
      </c>
      <c r="F59" s="2">
        <v>200</v>
      </c>
      <c r="G59" s="2">
        <v>200</v>
      </c>
      <c r="H59" s="2" t="s">
        <v>11</v>
      </c>
      <c r="I59" s="2" t="str">
        <f t="shared" si="5"/>
        <v>Excellent</v>
      </c>
    </row>
    <row r="60" spans="3:10">
      <c r="D60" s="2">
        <v>104</v>
      </c>
      <c r="E60" s="2" t="s">
        <v>13</v>
      </c>
      <c r="F60" s="2">
        <v>90</v>
      </c>
      <c r="G60" s="2">
        <v>100</v>
      </c>
      <c r="H60" s="2" t="s">
        <v>14</v>
      </c>
      <c r="I60" s="2" t="str">
        <f t="shared" si="5"/>
        <v>Needs Improvement</v>
      </c>
    </row>
    <row r="61" spans="3:10">
      <c r="D61" s="2">
        <v>105</v>
      </c>
      <c r="E61" s="2" t="s">
        <v>16</v>
      </c>
      <c r="F61" s="2">
        <v>220</v>
      </c>
      <c r="G61" s="2">
        <v>210</v>
      </c>
      <c r="H61" s="2" t="s">
        <v>6</v>
      </c>
      <c r="I61" s="2" t="str">
        <f t="shared" si="5"/>
        <v>Excellent</v>
      </c>
    </row>
    <row r="62" spans="3:10">
      <c r="D62" s="2">
        <v>106</v>
      </c>
      <c r="E62" s="2" t="s">
        <v>18</v>
      </c>
      <c r="F62" s="2">
        <v>130</v>
      </c>
      <c r="G62" s="2">
        <v>160</v>
      </c>
      <c r="H62" s="2" t="s">
        <v>8</v>
      </c>
      <c r="I62" s="2" t="str">
        <f t="shared" si="5"/>
        <v>Needs Improvement</v>
      </c>
    </row>
    <row r="64" spans="3:10">
      <c r="C64" s="3" t="s">
        <v>20</v>
      </c>
    </row>
    <row r="66" spans="3:9">
      <c r="D66" s="1" t="s">
        <v>0</v>
      </c>
      <c r="E66" s="1" t="s">
        <v>1</v>
      </c>
      <c r="F66" s="1" t="s">
        <v>2</v>
      </c>
      <c r="G66" s="1" t="s">
        <v>3</v>
      </c>
      <c r="H66" s="1" t="s">
        <v>4</v>
      </c>
      <c r="I66" s="1" t="s">
        <v>29</v>
      </c>
    </row>
    <row r="67" spans="3:9">
      <c r="D67" s="2">
        <v>101</v>
      </c>
      <c r="E67" s="2" t="s">
        <v>5</v>
      </c>
      <c r="F67" s="2">
        <v>120</v>
      </c>
      <c r="G67" s="2">
        <v>150</v>
      </c>
      <c r="H67" s="2" t="s">
        <v>6</v>
      </c>
      <c r="I67" s="2" t="str" cm="1">
        <f t="array" ref="I67">_xlfn.IFS(F67&gt;200,"High",F67&lt;=200,"Medium",F67&lt;100,"Low")</f>
        <v>Medium</v>
      </c>
    </row>
    <row r="68" spans="3:9">
      <c r="D68" s="2">
        <v>102</v>
      </c>
      <c r="E68" s="2" t="s">
        <v>7</v>
      </c>
      <c r="F68" s="2">
        <v>150</v>
      </c>
      <c r="G68" s="2">
        <v>140</v>
      </c>
      <c r="H68" s="2" t="s">
        <v>8</v>
      </c>
      <c r="I68" s="2" t="str" cm="1">
        <f t="array" ref="I68">_xlfn.IFS(F68&gt;200,"High",F68&lt;=200,"Medium",F68&lt;100,"Low")</f>
        <v>Medium</v>
      </c>
    </row>
    <row r="69" spans="3:9">
      <c r="D69" s="2">
        <v>103</v>
      </c>
      <c r="E69" s="2" t="s">
        <v>10</v>
      </c>
      <c r="F69" s="2">
        <v>200</v>
      </c>
      <c r="G69" s="2">
        <v>200</v>
      </c>
      <c r="H69" s="2" t="s">
        <v>11</v>
      </c>
      <c r="I69" s="2" t="str" cm="1">
        <f t="array" ref="I69">_xlfn.IFS(F69&gt;200,"High",F69&lt;=200,"Medium",F69&lt;100,"Low")</f>
        <v>Medium</v>
      </c>
    </row>
    <row r="70" spans="3:9">
      <c r="D70" s="2">
        <v>104</v>
      </c>
      <c r="E70" s="2" t="s">
        <v>13</v>
      </c>
      <c r="F70" s="2">
        <v>90</v>
      </c>
      <c r="G70" s="2">
        <v>100</v>
      </c>
      <c r="H70" s="2" t="s">
        <v>14</v>
      </c>
      <c r="I70" s="2" t="str" cm="1">
        <f t="array" ref="I70">_xlfn.IFS(F70&gt;200,"High",F70&lt;=200,"Medium",F70&lt;100,"Low")</f>
        <v>Medium</v>
      </c>
    </row>
    <row r="71" spans="3:9">
      <c r="D71" s="2">
        <v>105</v>
      </c>
      <c r="E71" s="2" t="s">
        <v>16</v>
      </c>
      <c r="F71" s="2">
        <v>220</v>
      </c>
      <c r="G71" s="2">
        <v>210</v>
      </c>
      <c r="H71" s="2" t="s">
        <v>6</v>
      </c>
      <c r="I71" s="2" t="str" cm="1">
        <f t="array" ref="I71">_xlfn.IFS(F71&gt;200,"High",F71&lt;=200,"Medium",F71&lt;100,"Low")</f>
        <v>High</v>
      </c>
    </row>
    <row r="72" spans="3:9">
      <c r="D72" s="2">
        <v>106</v>
      </c>
      <c r="E72" s="2" t="s">
        <v>18</v>
      </c>
      <c r="F72" s="2">
        <v>130</v>
      </c>
      <c r="G72" s="2">
        <v>160</v>
      </c>
      <c r="H72" s="2" t="s">
        <v>8</v>
      </c>
      <c r="I72" s="2" t="str" cm="1">
        <f t="array" ref="I72">_xlfn.IFS(F72&gt;200,"High",F72&lt;=200,"Medium",F72&lt;100,"Low")</f>
        <v>Medium</v>
      </c>
    </row>
    <row r="74" spans="3:9">
      <c r="C74" s="3" t="s">
        <v>21</v>
      </c>
    </row>
    <row r="76" spans="3:9">
      <c r="D76" s="1" t="s">
        <v>0</v>
      </c>
      <c r="E76" s="1" t="s">
        <v>1</v>
      </c>
      <c r="F76" s="1" t="s">
        <v>2</v>
      </c>
      <c r="G76" s="1" t="s">
        <v>3</v>
      </c>
      <c r="H76" s="1" t="s">
        <v>4</v>
      </c>
      <c r="I76" s="1" t="s">
        <v>30</v>
      </c>
    </row>
    <row r="77" spans="3:9">
      <c r="D77" s="2">
        <v>101</v>
      </c>
      <c r="E77" s="2" t="s">
        <v>5</v>
      </c>
      <c r="F77" s="2">
        <v>120</v>
      </c>
      <c r="G77" s="2">
        <v>150</v>
      </c>
      <c r="H77" s="2" t="s">
        <v>6</v>
      </c>
      <c r="I77" s="2" t="str">
        <f t="shared" ref="I77:I82" si="6">IF(AND(F77&gt;=150,H77="North"),"$500","$300")</f>
        <v>$300</v>
      </c>
    </row>
    <row r="78" spans="3:9">
      <c r="D78" s="2">
        <v>102</v>
      </c>
      <c r="E78" s="2" t="s">
        <v>7</v>
      </c>
      <c r="F78" s="2">
        <v>150</v>
      </c>
      <c r="G78" s="2">
        <v>140</v>
      </c>
      <c r="H78" s="2" t="s">
        <v>8</v>
      </c>
      <c r="I78" s="2" t="str">
        <f t="shared" si="6"/>
        <v>$300</v>
      </c>
    </row>
    <row r="79" spans="3:9">
      <c r="D79" s="2">
        <v>103</v>
      </c>
      <c r="E79" s="2" t="s">
        <v>10</v>
      </c>
      <c r="F79" s="2">
        <v>200</v>
      </c>
      <c r="G79" s="2">
        <v>200</v>
      </c>
      <c r="H79" s="2" t="s">
        <v>11</v>
      </c>
      <c r="I79" s="2" t="str">
        <f t="shared" si="6"/>
        <v>$300</v>
      </c>
    </row>
    <row r="80" spans="3:9">
      <c r="D80" s="2">
        <v>104</v>
      </c>
      <c r="E80" s="2" t="s">
        <v>13</v>
      </c>
      <c r="F80" s="2">
        <v>90</v>
      </c>
      <c r="G80" s="2">
        <v>100</v>
      </c>
      <c r="H80" s="2" t="s">
        <v>14</v>
      </c>
      <c r="I80" s="2" t="str">
        <f t="shared" si="6"/>
        <v>$300</v>
      </c>
    </row>
    <row r="81" spans="3:9">
      <c r="D81" s="2">
        <v>105</v>
      </c>
      <c r="E81" s="2" t="s">
        <v>16</v>
      </c>
      <c r="F81" s="2">
        <v>220</v>
      </c>
      <c r="G81" s="2">
        <v>210</v>
      </c>
      <c r="H81" s="2" t="s">
        <v>6</v>
      </c>
      <c r="I81" s="2" t="str">
        <f t="shared" si="6"/>
        <v>$500</v>
      </c>
    </row>
    <row r="82" spans="3:9">
      <c r="D82" s="2">
        <v>106</v>
      </c>
      <c r="E82" s="2" t="s">
        <v>18</v>
      </c>
      <c r="F82" s="2">
        <v>130</v>
      </c>
      <c r="G82" s="2">
        <v>160</v>
      </c>
      <c r="H82" s="2" t="s">
        <v>8</v>
      </c>
      <c r="I82" s="2" t="str">
        <f t="shared" si="6"/>
        <v>$300</v>
      </c>
    </row>
    <row r="84" spans="3:9">
      <c r="C84" s="3" t="s">
        <v>22</v>
      </c>
    </row>
    <row r="86" spans="3:9">
      <c r="D86" s="1" t="s">
        <v>0</v>
      </c>
      <c r="E86" s="1" t="s">
        <v>1</v>
      </c>
      <c r="F86" s="1" t="s">
        <v>2</v>
      </c>
      <c r="G86" s="1" t="s">
        <v>3</v>
      </c>
      <c r="H86" s="1" t="s">
        <v>4</v>
      </c>
      <c r="I86" s="1" t="s">
        <v>31</v>
      </c>
    </row>
    <row r="87" spans="3:9">
      <c r="D87" s="2">
        <v>101</v>
      </c>
      <c r="E87" s="2" t="s">
        <v>5</v>
      </c>
      <c r="F87" s="2">
        <v>120</v>
      </c>
      <c r="G87" s="2">
        <v>150</v>
      </c>
      <c r="H87" s="2" t="s">
        <v>6</v>
      </c>
      <c r="I87" s="2" t="str">
        <f t="shared" ref="I87:I92" si="7">IF(F87&gt;=PERCENTILE($F$87:$F$92,0.75),"High ","Low")</f>
        <v>Low</v>
      </c>
    </row>
    <row r="88" spans="3:9">
      <c r="D88" s="2">
        <v>102</v>
      </c>
      <c r="E88" s="2" t="s">
        <v>7</v>
      </c>
      <c r="F88" s="2">
        <v>150</v>
      </c>
      <c r="G88" s="2">
        <v>140</v>
      </c>
      <c r="H88" s="2" t="s">
        <v>8</v>
      </c>
      <c r="I88" s="2" t="str">
        <f t="shared" si="7"/>
        <v>Low</v>
      </c>
    </row>
    <row r="89" spans="3:9">
      <c r="D89" s="2">
        <v>103</v>
      </c>
      <c r="E89" s="2" t="s">
        <v>10</v>
      </c>
      <c r="F89" s="2">
        <v>200</v>
      </c>
      <c r="G89" s="2">
        <v>200</v>
      </c>
      <c r="H89" s="2" t="s">
        <v>11</v>
      </c>
      <c r="I89" s="2" t="str">
        <f t="shared" si="7"/>
        <v>High</v>
      </c>
    </row>
    <row r="90" spans="3:9">
      <c r="D90" s="2">
        <v>104</v>
      </c>
      <c r="E90" s="2" t="s">
        <v>13</v>
      </c>
      <c r="F90" s="2">
        <v>90</v>
      </c>
      <c r="G90" s="2">
        <v>100</v>
      </c>
      <c r="H90" s="2" t="s">
        <v>14</v>
      </c>
      <c r="I90" s="2" t="str">
        <f t="shared" si="7"/>
        <v>Low</v>
      </c>
    </row>
    <row r="91" spans="3:9">
      <c r="D91" s="2">
        <v>105</v>
      </c>
      <c r="E91" s="2" t="s">
        <v>16</v>
      </c>
      <c r="F91" s="2">
        <v>220</v>
      </c>
      <c r="G91" s="2">
        <v>210</v>
      </c>
      <c r="H91" s="2" t="s">
        <v>6</v>
      </c>
      <c r="I91" s="2" t="str">
        <f t="shared" si="7"/>
        <v>High</v>
      </c>
    </row>
    <row r="92" spans="3:9">
      <c r="D92" s="2">
        <v>106</v>
      </c>
      <c r="E92" s="2" t="s">
        <v>18</v>
      </c>
      <c r="F92" s="2">
        <v>130</v>
      </c>
      <c r="G92" s="2">
        <v>160</v>
      </c>
      <c r="H92" s="2" t="s">
        <v>8</v>
      </c>
      <c r="I92" s="2" t="str">
        <f t="shared" si="7"/>
        <v>Low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Sourav Das</cp:lastModifiedBy>
  <dcterms:created xsi:type="dcterms:W3CDTF">2026-01-30T09:18:32Z</dcterms:created>
  <dcterms:modified xsi:type="dcterms:W3CDTF">2026-01-30T14:48:11Z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331510A93C9A41DDB61B329921C4720B_11</vt:lpwstr>
  </property>
  <property fmtid="{D5CDD505-2E9C-101B-9397-08002B2CF9AE}" pid="3" name="KSOProductBuildVer">
    <vt:lpwstr>1033-12.2.0.23196</vt:lpwstr>
  </property>
</Properties>
</file>