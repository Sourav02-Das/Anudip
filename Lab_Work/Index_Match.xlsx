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2ff9032dd488a969/Desktop/Anudip/Lab/"/>
    </mc:Choice>
  </mc:AlternateContent>
  <xr:revisionPtr revIDLastSave="13" documentId="8_{9D93F619-3570-4E4C-82F3-F10AE0B543DC}" xr6:coauthVersionLast="47" xr6:coauthVersionMax="47" xr10:uidLastSave="{FA539652-2EE2-46B7-A52C-BFADD07A44D7}"/>
  <bookViews>
    <workbookView xWindow="-110" yWindow="-110" windowWidth="19420" windowHeight="11020" xr2:uid="{945CC94C-A066-4805-A2A9-0579D950357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3" i="1" l="1"/>
  <c r="O20" i="1"/>
  <c r="O17" i="1"/>
  <c r="O14" i="1"/>
  <c r="O11" i="1"/>
  <c r="O8" i="1"/>
  <c r="O2" i="1"/>
  <c r="O5" i="1"/>
</calcChain>
</file>

<file path=xl/sharedStrings.xml><?xml version="1.0" encoding="utf-8"?>
<sst xmlns="http://schemas.openxmlformats.org/spreadsheetml/2006/main" count="51" uniqueCount="29">
  <si>
    <t>Product ID</t>
  </si>
  <si>
    <t>Product</t>
  </si>
  <si>
    <t>Category</t>
  </si>
  <si>
    <t>Jan Sales</t>
  </si>
  <si>
    <t>Feb Sales</t>
  </si>
  <si>
    <t>March Sales</t>
  </si>
  <si>
    <t>Apr Sales</t>
  </si>
  <si>
    <t>May Sales</t>
  </si>
  <si>
    <t>PRODA</t>
  </si>
  <si>
    <t>Electronics</t>
  </si>
  <si>
    <t>1. Use INDEX and MATCH to find the sales for Product C in March.</t>
  </si>
  <si>
    <t>PRODB</t>
  </si>
  <si>
    <t>Furniture</t>
  </si>
  <si>
    <t>2. Use INDEX and MATCH to find the category for Product E.</t>
  </si>
  <si>
    <t>PRODC</t>
  </si>
  <si>
    <t>PRODD</t>
  </si>
  <si>
    <t>Clothing</t>
  </si>
  <si>
    <t>PRODE</t>
  </si>
  <si>
    <t>PRODF</t>
  </si>
  <si>
    <t>7. Use INDEX and MATCH to find the sales for Product ID 105 in May.</t>
  </si>
  <si>
    <t>3. Use INDEX and MATCH to find the maximum sales for Product B across all months.</t>
  </si>
  <si>
    <t>4. Use INDEX and MATCH to find the month with the maximum sales for Product A.</t>
  </si>
  <si>
    <t>5. Use INDEX, MATCH, and SUMIF to sum the sales for all products in the "Electronics" category for April.</t>
  </si>
  <si>
    <t>6. Use INDEX and MATCH to calculate the average sales for Product D across all months.</t>
  </si>
  <si>
    <t>8. Use INDEX and MATCH to create a dynamic lookup where the user can input a product and a month, and the formula returns the corresponding sales.</t>
  </si>
  <si>
    <t>Max sales</t>
  </si>
  <si>
    <t xml:space="preserve">Sum </t>
  </si>
  <si>
    <t>AVG Sales</t>
  </si>
  <si>
    <t>ProductID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</si>
</sst>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charset val="134"/>
      <scheme val="minor"/>
    </font>
    <font>
      <b/>
      <sz val="12"/>
      <color rgb="FF000000"/>
      <name val="Calibri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2"/>
      <color rgb="FF000000"/>
      <name val="Calibri"/>
      <charset val="134"/>
    </font>
    <font>
      <sz val="10"/>
      <color rgb="FF000000"/>
      <name val="Arial"/>
      <charset val="134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5" fillId="0" borderId="0" xfId="0" applyFont="1">
      <alignment vertical="center"/>
    </xf>
    <xf numFmtId="0" fontId="1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1" fillId="2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8" fillId="2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4" fillId="3" borderId="1" xfId="0" applyFont="1" applyFill="1" applyBorder="1">
      <alignment vertical="center"/>
    </xf>
    <xf numFmtId="0" fontId="0" fillId="4" borderId="1" xfId="0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96B0E-66E5-432A-B4FB-8E2B3B314552}">
  <dimension ref="A1:O23"/>
  <sheetViews>
    <sheetView tabSelected="1" workbookViewId="0">
      <selection activeCell="L12" sqref="L12"/>
    </sheetView>
  </sheetViews>
  <sheetFormatPr defaultColWidth="9.1796875" defaultRowHeight="14.5"/>
  <cols>
    <col min="1" max="1" width="11.26953125" customWidth="1"/>
    <col min="2" max="2" width="8.453125" customWidth="1"/>
    <col min="3" max="3" width="12.54296875" customWidth="1"/>
    <col min="4" max="4" width="9.90625" customWidth="1"/>
    <col min="5" max="5" width="10.1796875" customWidth="1"/>
    <col min="6" max="6" width="13.1796875" customWidth="1"/>
    <col min="7" max="7" width="10.1796875" customWidth="1"/>
    <col min="8" max="8" width="11.1796875" customWidth="1"/>
    <col min="11" max="11" width="9.6328125" bestFit="1" customWidth="1"/>
    <col min="12" max="12" width="10.7265625" bestFit="1" customWidth="1"/>
    <col min="13" max="13" width="9.6328125" bestFit="1" customWidth="1"/>
    <col min="14" max="14" width="10.7265625" bestFit="1" customWidth="1"/>
    <col min="15" max="15" width="10.81640625" bestFit="1" customWidth="1"/>
  </cols>
  <sheetData>
    <row r="1" spans="1:15" ht="15.5">
      <c r="M1">
        <v>1</v>
      </c>
      <c r="N1" s="6" t="s">
        <v>1</v>
      </c>
      <c r="O1" s="7" t="s">
        <v>5</v>
      </c>
    </row>
    <row r="2" spans="1:15" ht="15.5">
      <c r="A2" s="5" t="s">
        <v>0</v>
      </c>
      <c r="B2" s="5" t="s">
        <v>1</v>
      </c>
      <c r="C2" s="5" t="s">
        <v>2</v>
      </c>
      <c r="D2" s="5" t="s">
        <v>3</v>
      </c>
      <c r="E2" s="6" t="s">
        <v>4</v>
      </c>
      <c r="F2" s="6" t="s">
        <v>5</v>
      </c>
      <c r="G2" s="6" t="s">
        <v>6</v>
      </c>
      <c r="H2" s="6" t="s">
        <v>7</v>
      </c>
      <c r="N2" s="10" t="s">
        <v>14</v>
      </c>
      <c r="O2" s="10">
        <f>INDEX(A2:H8,MATCH(N2,B2:B8,0),MATCH(O1,A2:H2,0))</f>
        <v>220</v>
      </c>
    </row>
    <row r="3" spans="1:15" ht="15.5">
      <c r="A3" s="8">
        <v>101</v>
      </c>
      <c r="B3" s="8" t="s">
        <v>8</v>
      </c>
      <c r="C3" s="8" t="s">
        <v>9</v>
      </c>
      <c r="D3" s="9">
        <v>120</v>
      </c>
      <c r="E3" s="8">
        <v>130</v>
      </c>
      <c r="F3" s="8">
        <v>140</v>
      </c>
      <c r="G3" s="8">
        <v>150</v>
      </c>
      <c r="H3" s="8">
        <v>160</v>
      </c>
    </row>
    <row r="4" spans="1:15" ht="15.5">
      <c r="A4" s="8">
        <v>102</v>
      </c>
      <c r="B4" s="8" t="s">
        <v>11</v>
      </c>
      <c r="C4" s="8" t="s">
        <v>12</v>
      </c>
      <c r="D4" s="9">
        <v>150</v>
      </c>
      <c r="E4" s="8">
        <v>160</v>
      </c>
      <c r="F4" s="8">
        <v>170</v>
      </c>
      <c r="G4" s="8">
        <v>180</v>
      </c>
      <c r="H4" s="8">
        <v>190</v>
      </c>
      <c r="M4">
        <v>2</v>
      </c>
      <c r="N4" s="7" t="s">
        <v>1</v>
      </c>
      <c r="O4" s="7" t="s">
        <v>2</v>
      </c>
    </row>
    <row r="5" spans="1:15" ht="15.5">
      <c r="A5" s="8">
        <v>103</v>
      </c>
      <c r="B5" s="8" t="s">
        <v>14</v>
      </c>
      <c r="C5" s="8" t="s">
        <v>9</v>
      </c>
      <c r="D5" s="8">
        <v>200</v>
      </c>
      <c r="E5" s="8">
        <v>210</v>
      </c>
      <c r="F5" s="8">
        <v>220</v>
      </c>
      <c r="G5" s="8">
        <v>230</v>
      </c>
      <c r="H5" s="8">
        <v>240</v>
      </c>
      <c r="N5" s="10" t="s">
        <v>17</v>
      </c>
      <c r="O5" s="10" t="str">
        <f>INDEX(A2:H8,MATCH(N5,B2:B8,0),MATCH(O4,A2:H2,0))</f>
        <v>Furniture</v>
      </c>
    </row>
    <row r="6" spans="1:15" ht="15.5">
      <c r="A6" s="8">
        <v>104</v>
      </c>
      <c r="B6" s="8" t="s">
        <v>15</v>
      </c>
      <c r="C6" s="8" t="s">
        <v>16</v>
      </c>
      <c r="D6" s="8">
        <v>90</v>
      </c>
      <c r="E6" s="8">
        <v>100</v>
      </c>
      <c r="F6" s="8">
        <v>110</v>
      </c>
      <c r="G6" s="8">
        <v>120</v>
      </c>
      <c r="H6" s="8">
        <v>130</v>
      </c>
    </row>
    <row r="7" spans="1:15" ht="15.5">
      <c r="A7" s="8">
        <v>105</v>
      </c>
      <c r="B7" s="8" t="s">
        <v>17</v>
      </c>
      <c r="C7" s="8" t="s">
        <v>12</v>
      </c>
      <c r="D7" s="8">
        <v>220</v>
      </c>
      <c r="E7" s="8">
        <v>430</v>
      </c>
      <c r="F7" s="8">
        <v>240</v>
      </c>
      <c r="G7" s="8">
        <v>250</v>
      </c>
      <c r="H7" s="8">
        <v>260</v>
      </c>
      <c r="M7">
        <v>3</v>
      </c>
      <c r="N7" s="7" t="s">
        <v>1</v>
      </c>
      <c r="O7" s="7" t="s">
        <v>25</v>
      </c>
    </row>
    <row r="8" spans="1:15" ht="15.5">
      <c r="A8" s="8">
        <v>106</v>
      </c>
      <c r="B8" s="8" t="s">
        <v>18</v>
      </c>
      <c r="C8" s="8" t="s">
        <v>9</v>
      </c>
      <c r="D8" s="8">
        <v>130</v>
      </c>
      <c r="E8" s="8">
        <v>140</v>
      </c>
      <c r="F8" s="8">
        <v>150</v>
      </c>
      <c r="G8" s="8">
        <v>160</v>
      </c>
      <c r="H8" s="8">
        <v>170</v>
      </c>
      <c r="N8" s="10" t="s">
        <v>11</v>
      </c>
      <c r="O8" s="10">
        <f>MAX(INDEX(D2:H8,MATCH(N8,B2:B8,0),))</f>
        <v>190</v>
      </c>
    </row>
    <row r="10" spans="1:15">
      <c r="M10">
        <v>4</v>
      </c>
      <c r="N10" s="7" t="s">
        <v>1</v>
      </c>
      <c r="O10" s="7" t="s">
        <v>25</v>
      </c>
    </row>
    <row r="11" spans="1:15">
      <c r="N11" s="10" t="s">
        <v>8</v>
      </c>
      <c r="O11" s="10" t="str">
        <f>INDEX(D2:H2,MATCH(MAX(D3:H3),D3:H3,0))</f>
        <v>May Sales</v>
      </c>
    </row>
    <row r="12" spans="1:15" ht="15.5">
      <c r="A12" s="1" t="s">
        <v>10</v>
      </c>
      <c r="E12" s="2"/>
      <c r="F12" s="3"/>
      <c r="G12" s="4"/>
      <c r="H12" s="4"/>
      <c r="J12" s="1"/>
    </row>
    <row r="13" spans="1:15">
      <c r="A13" s="1" t="s">
        <v>13</v>
      </c>
      <c r="M13">
        <v>5</v>
      </c>
      <c r="N13" s="7" t="s">
        <v>2</v>
      </c>
      <c r="O13" s="7" t="s">
        <v>26</v>
      </c>
    </row>
    <row r="14" spans="1:15">
      <c r="A14" s="1" t="s">
        <v>20</v>
      </c>
      <c r="N14" s="10" t="s">
        <v>9</v>
      </c>
      <c r="O14" s="10">
        <f>SUMIF(C3:C8,"Electronics",G3:G8)</f>
        <v>540</v>
      </c>
    </row>
    <row r="15" spans="1:15">
      <c r="A15" s="1" t="s">
        <v>21</v>
      </c>
      <c r="J15" s="1"/>
    </row>
    <row r="16" spans="1:15">
      <c r="A16" s="1" t="s">
        <v>22</v>
      </c>
      <c r="J16" s="1"/>
      <c r="M16">
        <v>6</v>
      </c>
      <c r="N16" s="7" t="s">
        <v>1</v>
      </c>
      <c r="O16" s="7" t="s">
        <v>27</v>
      </c>
    </row>
    <row r="17" spans="1:15">
      <c r="A17" s="1" t="s">
        <v>23</v>
      </c>
      <c r="N17" s="10" t="s">
        <v>15</v>
      </c>
      <c r="O17" s="10">
        <f>AVERAGE(D6:H6)</f>
        <v>110</v>
      </c>
    </row>
    <row r="18" spans="1:15">
      <c r="A18" s="1" t="s">
        <v>19</v>
      </c>
    </row>
    <row r="19" spans="1:15">
      <c r="A19" s="1" t="s">
        <v>24</v>
      </c>
      <c r="M19">
        <v>7</v>
      </c>
      <c r="N19" s="7" t="s">
        <v>28</v>
      </c>
      <c r="O19" s="7" t="s">
        <v>7</v>
      </c>
    </row>
    <row r="20" spans="1:15">
      <c r="N20" s="10">
        <v>105</v>
      </c>
      <c r="O20" s="10">
        <f>INDEX(A2:H8,MATCH(N20,A2:A8,0),MATCH(O19,A2:H2,0))</f>
        <v>260</v>
      </c>
    </row>
    <row r="22" spans="1:15">
      <c r="M22">
        <v>8</v>
      </c>
      <c r="N22" s="7" t="s">
        <v>1</v>
      </c>
      <c r="O22" s="7" t="s">
        <v>4</v>
      </c>
    </row>
    <row r="23" spans="1:15">
      <c r="N23" s="10" t="s">
        <v>18</v>
      </c>
      <c r="O23" s="10">
        <f>INDEX(A2:H8,MATCH(N23,B2:B8,0),MATCH(O22,A2:H2,0))</f>
        <v>140</v>
      </c>
    </row>
  </sheetData>
  <dataValidations count="4">
    <dataValidation type="list" allowBlank="1" showInputMessage="1" showErrorMessage="1" sqref="E13:E20 H13:H17 N2 N5 N8 N11 N17 N23" xr:uid="{7D973AC1-243D-45EF-95E3-E644E5B444B2}">
      <formula1>$B$3:$B$8</formula1>
    </dataValidation>
    <dataValidation type="list" allowBlank="1" showInputMessage="1" showErrorMessage="1" sqref="F13:F15 O1" xr:uid="{87CA109B-2C4A-4550-AB01-199077E2B77B}">
      <formula1>$D$2:$H$2</formula1>
    </dataValidation>
    <dataValidation type="list" allowBlank="1" showInputMessage="1" showErrorMessage="1" sqref="N14" xr:uid="{17C453A8-8568-4172-A606-94DAB4083273}">
      <formula1>$C$4:$C$6</formula1>
    </dataValidation>
    <dataValidation type="list" allowBlank="1" showInputMessage="1" showErrorMessage="1" sqref="N20" xr:uid="{942142DA-7887-4529-8812-527F3C8910F6}">
      <formula1>$A$3:$A$8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Sourav Das</dc:creator>
  <cp:lastModifiedBy>Sourav Das</cp:lastModifiedBy>
  <dcterms:created xsi:type="dcterms:W3CDTF">2026-01-19T12:47:39Z</dcterms:created>
  <dcterms:modified xsi:type="dcterms:W3CDTF">2026-01-21T13:30:30Z</dcterms:modified>
</cp:coreProperties>
</file>