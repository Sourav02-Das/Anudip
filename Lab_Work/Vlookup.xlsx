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Lab/"/>
    </mc:Choice>
  </mc:AlternateContent>
  <xr:revisionPtr revIDLastSave="8" documentId="11_F25DC773A252ABDACC10489EC11F529A5BDE58E9" xr6:coauthVersionLast="47" xr6:coauthVersionMax="47" xr10:uidLastSave="{AB2EBF3A-FC1C-4676-A3F8-B768094EA4E9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H12" i="2" s="1"/>
  <c r="I12" i="2" s="1"/>
  <c r="E13" i="2"/>
  <c r="H13" i="2" s="1"/>
  <c r="I13" i="2" s="1"/>
  <c r="E14" i="2"/>
  <c r="F14" i="2" s="1"/>
  <c r="E15" i="2"/>
  <c r="H15" i="2" s="1"/>
  <c r="I15" i="2" s="1"/>
  <c r="E16" i="2"/>
  <c r="H16" i="2" s="1"/>
  <c r="I16" i="2" s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G13" i="2"/>
  <c r="G14" i="2"/>
  <c r="G15" i="2"/>
  <c r="G16" i="2"/>
  <c r="G17" i="2"/>
  <c r="G18" i="2"/>
  <c r="G19" i="2"/>
  <c r="G12" i="2"/>
  <c r="E17" i="2"/>
  <c r="F17" i="2" s="1"/>
  <c r="E18" i="2"/>
  <c r="H18" i="2" s="1"/>
  <c r="I18" i="2" s="1"/>
  <c r="E19" i="2"/>
  <c r="H19" i="2" s="1"/>
  <c r="I19" i="2" s="1"/>
  <c r="D13" i="2"/>
  <c r="D14" i="2"/>
  <c r="D15" i="2"/>
  <c r="D16" i="2"/>
  <c r="D17" i="2"/>
  <c r="D18" i="2"/>
  <c r="D19" i="2"/>
  <c r="D12" i="2"/>
  <c r="F15" i="2" l="1"/>
  <c r="F16" i="2"/>
  <c r="F13" i="2"/>
  <c r="H14" i="2"/>
  <c r="I14" i="2" s="1"/>
  <c r="F19" i="2"/>
  <c r="H17" i="2"/>
  <c r="I17" i="2" s="1"/>
  <c r="F18" i="2"/>
  <c r="F12" i="2"/>
  <c r="K14" i="2" l="1"/>
</calcChain>
</file>

<file path=xl/sharedStrings.xml><?xml version="1.0" encoding="utf-8"?>
<sst xmlns="http://schemas.openxmlformats.org/spreadsheetml/2006/main" count="34" uniqueCount="28">
  <si>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</si>
  <si>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</si>
  <si>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</si>
  <si>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</si>
  <si>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</si>
  <si>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</si>
  <si>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</si>
  <si>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</si>
  <si>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</si>
  <si>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</si>
  <si>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</si>
  <si>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</si>
  <si>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TotalPrice1</t>
  </si>
  <si>
    <t>Discount</t>
  </si>
  <si>
    <t>Max Value</t>
  </si>
  <si>
    <t>Availibity</t>
  </si>
  <si>
    <t>Product G</t>
  </si>
  <si>
    <t>Ordered/Not</t>
  </si>
  <si>
    <t>Product H</t>
  </si>
  <si>
    <t>Quantity Sold</t>
  </si>
  <si>
    <t>Questions:</t>
  </si>
  <si>
    <t>1. Use VLOOKUP to find the product names for each ProductID in the Orders worksheet.</t>
  </si>
  <si>
    <t xml:space="preserve">2. Use VLOOKUP to find the price for each ProductID in the Orders worksheet, then calculate the TotalPrice by multiplying the Quantity by the Product Price. </t>
  </si>
  <si>
    <t xml:space="preserve">3. Use VLOOKUP to check if there are any ProductIDs in the Orders worksheet that do not exist in the Products worksheet. </t>
  </si>
  <si>
    <t xml:space="preserve">4. Assume a discount of 10% is given on all products. Use VLOOKUP to find the original price and then calculate the discounted price. </t>
  </si>
  <si>
    <t xml:space="preserve">5. Use VLOOKUP to find the price for each ProductID and then calculate the order value. Find the maximum order value from the list. </t>
  </si>
  <si>
    <t xml:space="preserve">6. Use VLOOKUP to find out which products from the Products worksheet have not been ordered. </t>
  </si>
  <si>
    <t xml:space="preserve">7. Use VLOOKUP to find the Product name and summarize the total quantity sold for each product.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</si>
</sst>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G8" sqref="G8"/>
    </sheetView>
  </sheetViews>
  <sheetFormatPr defaultRowHeight="14.5" x14ac:dyDescent="0.35"/>
  <cols>
    <col min="2" max="2" width="9" bestFit="1" customWidth="1"/>
    <col min="4" max="4" width="11.7265625" bestFit="1" customWidth="1"/>
    <col min="5" max="5" width="12.179687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17</v>
      </c>
      <c r="E1" s="3" t="s">
        <v>19</v>
      </c>
    </row>
    <row r="2" spans="1:5" x14ac:dyDescent="0.35">
      <c r="A2" s="4">
        <v>101</v>
      </c>
      <c r="B2" s="4" t="s">
        <v>3</v>
      </c>
      <c r="C2" s="4">
        <v>120</v>
      </c>
      <c r="D2" s="4" t="str">
        <f>IF(ISNA(VLOOKUP(A2,Sheet2!$B$1:$C$9,2,0)),"not ordered","ordered")</f>
        <v>ordered</v>
      </c>
      <c r="E2" s="4">
        <f>SUMIF(Sheet2!$B$2:$B$9,Sheet1!A2,Sheet2!$C$2:$C$9)</f>
        <v>2</v>
      </c>
    </row>
    <row r="3" spans="1:5" x14ac:dyDescent="0.35">
      <c r="A3" s="4">
        <v>102</v>
      </c>
      <c r="B3" s="4" t="s">
        <v>4</v>
      </c>
      <c r="C3" s="4">
        <v>150</v>
      </c>
      <c r="D3" s="4" t="str">
        <f>IF(ISNA(VLOOKUP(A3,Sheet2!$B$1:$C$9,2,0)),"not ordered","ordered")</f>
        <v>ordered</v>
      </c>
      <c r="E3" s="4">
        <f>SUMIF(Sheet2!$B$2:$B$9,Sheet1!A3,Sheet2!$C$2:$C$9)</f>
        <v>5</v>
      </c>
    </row>
    <row r="4" spans="1:5" x14ac:dyDescent="0.35">
      <c r="A4" s="4">
        <v>103</v>
      </c>
      <c r="B4" s="4" t="s">
        <v>5</v>
      </c>
      <c r="C4" s="4">
        <v>200</v>
      </c>
      <c r="D4" s="4" t="str">
        <f>IF(ISNA(VLOOKUP(A4,Sheet2!$B$1:$C$9,2,0)),"not ordered","ordered")</f>
        <v>ordered</v>
      </c>
      <c r="E4" s="4">
        <f>SUMIF(Sheet2!$B$2:$B$9,Sheet1!A4,Sheet2!$C$2:$C$9)</f>
        <v>1</v>
      </c>
    </row>
    <row r="5" spans="1:5" x14ac:dyDescent="0.35">
      <c r="A5" s="4">
        <v>104</v>
      </c>
      <c r="B5" s="4" t="s">
        <v>6</v>
      </c>
      <c r="C5" s="4">
        <v>90</v>
      </c>
      <c r="D5" s="4" t="str">
        <f>IF(ISNA(VLOOKUP(A5,Sheet2!$B$1:$C$9,2,0)),"not ordered","ordered")</f>
        <v>ordered</v>
      </c>
      <c r="E5" s="4">
        <f>SUMIF(Sheet2!$B$2:$B$9,Sheet1!A5,Sheet2!$C$2:$C$9)</f>
        <v>6</v>
      </c>
    </row>
    <row r="6" spans="1:5" x14ac:dyDescent="0.35">
      <c r="A6" s="4">
        <v>105</v>
      </c>
      <c r="B6" s="4" t="s">
        <v>7</v>
      </c>
      <c r="C6" s="4">
        <v>220</v>
      </c>
      <c r="D6" s="4" t="str">
        <f>IF(ISNA(VLOOKUP(A6,Sheet2!$B$1:$C$9,2,0)),"not ordered","ordered")</f>
        <v>ordered</v>
      </c>
      <c r="E6" s="4">
        <f>SUMIF(Sheet2!$B$2:$B$9,Sheet1!A6,Sheet2!$C$2:$C$9)</f>
        <v>8</v>
      </c>
    </row>
    <row r="7" spans="1:5" x14ac:dyDescent="0.35">
      <c r="A7" s="4">
        <v>106</v>
      </c>
      <c r="B7" s="4" t="s">
        <v>8</v>
      </c>
      <c r="C7" s="4">
        <v>130</v>
      </c>
      <c r="D7" s="4" t="str">
        <f>IF(ISNA(VLOOKUP(A7,Sheet2!$B$1:$C$9,2,0)),"not ordered","ordered")</f>
        <v>ordered</v>
      </c>
      <c r="E7" s="4">
        <f>SUMIF(Sheet2!$B$2:$B$9,Sheet1!A7,Sheet2!$C$2:$C$9)</f>
        <v>3</v>
      </c>
    </row>
    <row r="8" spans="1:5" x14ac:dyDescent="0.35">
      <c r="A8" s="4">
        <v>107</v>
      </c>
      <c r="B8" s="4" t="s">
        <v>16</v>
      </c>
      <c r="C8" s="4">
        <v>180</v>
      </c>
      <c r="D8" s="4" t="str">
        <f>IF(ISNA(VLOOKUP(A8,Sheet2!$B$1:$C$9,2,0)),"not ordered","ordered")</f>
        <v>ordered</v>
      </c>
      <c r="E8" s="4">
        <f>SUMIF(Sheet2!$B$2:$B$9,Sheet1!A8,Sheet2!$C$2:$C$9)</f>
        <v>1</v>
      </c>
    </row>
    <row r="9" spans="1:5" x14ac:dyDescent="0.35">
      <c r="A9" s="4">
        <v>108</v>
      </c>
      <c r="B9" s="4" t="s">
        <v>18</v>
      </c>
      <c r="C9" s="4">
        <v>210</v>
      </c>
      <c r="D9" s="4" t="str">
        <f>IF(ISNA(VLOOKUP(A9,Sheet2!$B$1:$C$9,2,0)),"not ordered","ordered")</f>
        <v>not ordered</v>
      </c>
      <c r="E9" s="4">
        <f>SUMIF(Sheet2!$B$2:$B$9,Sheet1!A9,Sheet2!$C$2:$C$9)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98FA-F776-424C-85F7-EB30619CA846}">
  <dimension ref="A1:K19"/>
  <sheetViews>
    <sheetView tabSelected="1" workbookViewId="0">
      <selection activeCell="J11" sqref="J11"/>
    </sheetView>
  </sheetViews>
  <sheetFormatPr defaultRowHeight="14.5" x14ac:dyDescent="0.35"/>
  <cols>
    <col min="2" max="2" width="9.26953125" bestFit="1" customWidth="1"/>
    <col min="6" max="6" width="9.1796875" bestFit="1" customWidth="1"/>
    <col min="7" max="7" width="9.6328125" bestFit="1" customWidth="1"/>
    <col min="9" max="9" width="10.1796875" bestFit="1" customWidth="1"/>
    <col min="10" max="11" width="9.6328125" bestFit="1" customWidth="1"/>
  </cols>
  <sheetData>
    <row r="1" spans="1:11" x14ac:dyDescent="0.35">
      <c r="A1" s="5" t="s">
        <v>9</v>
      </c>
      <c r="B1" s="5" t="s">
        <v>0</v>
      </c>
      <c r="C1" s="5" t="s">
        <v>10</v>
      </c>
      <c r="E1" s="2" t="s">
        <v>20</v>
      </c>
    </row>
    <row r="2" spans="1:11" x14ac:dyDescent="0.35">
      <c r="A2" s="7">
        <v>1</v>
      </c>
      <c r="B2" s="7">
        <v>101</v>
      </c>
      <c r="C2" s="7">
        <v>2</v>
      </c>
      <c r="E2" s="1" t="s">
        <v>21</v>
      </c>
    </row>
    <row r="3" spans="1:11" x14ac:dyDescent="0.35">
      <c r="A3" s="7">
        <v>2</v>
      </c>
      <c r="B3" s="7">
        <v>103</v>
      </c>
      <c r="C3" s="7">
        <v>1</v>
      </c>
      <c r="E3" s="1" t="s">
        <v>22</v>
      </c>
    </row>
    <row r="4" spans="1:11" x14ac:dyDescent="0.35">
      <c r="A4" s="7">
        <v>3</v>
      </c>
      <c r="B4" s="7">
        <v>105</v>
      </c>
      <c r="C4" s="7">
        <v>4</v>
      </c>
      <c r="E4" s="1" t="s">
        <v>23</v>
      </c>
    </row>
    <row r="5" spans="1:11" x14ac:dyDescent="0.35">
      <c r="A5" s="7">
        <v>4</v>
      </c>
      <c r="B5" s="7">
        <v>106</v>
      </c>
      <c r="C5" s="7">
        <v>3</v>
      </c>
      <c r="E5" s="1" t="s">
        <v>24</v>
      </c>
    </row>
    <row r="6" spans="1:11" x14ac:dyDescent="0.35">
      <c r="A6" s="7">
        <v>5</v>
      </c>
      <c r="B6" s="7">
        <v>102</v>
      </c>
      <c r="C6" s="7">
        <v>5</v>
      </c>
      <c r="E6" s="1" t="s">
        <v>25</v>
      </c>
    </row>
    <row r="7" spans="1:11" x14ac:dyDescent="0.35">
      <c r="A7" s="7">
        <v>6</v>
      </c>
      <c r="B7" s="7">
        <v>104</v>
      </c>
      <c r="C7" s="7">
        <v>6</v>
      </c>
      <c r="E7" s="1" t="s">
        <v>26</v>
      </c>
    </row>
    <row r="8" spans="1:11" x14ac:dyDescent="0.35">
      <c r="A8" s="7">
        <v>7</v>
      </c>
      <c r="B8" s="7">
        <v>107</v>
      </c>
      <c r="C8" s="7">
        <v>1</v>
      </c>
      <c r="E8" s="1" t="s">
        <v>27</v>
      </c>
    </row>
    <row r="9" spans="1:11" x14ac:dyDescent="0.35">
      <c r="A9" s="7">
        <v>8</v>
      </c>
      <c r="B9" s="7">
        <v>105</v>
      </c>
      <c r="C9" s="7">
        <v>4</v>
      </c>
    </row>
    <row r="11" spans="1:11" x14ac:dyDescent="0.35">
      <c r="A11" s="6" t="s">
        <v>9</v>
      </c>
      <c r="B11" s="6" t="s">
        <v>0</v>
      </c>
      <c r="C11" s="6" t="s">
        <v>10</v>
      </c>
      <c r="D11" s="6" t="s">
        <v>1</v>
      </c>
      <c r="E11" s="6" t="s">
        <v>2</v>
      </c>
      <c r="F11" s="6" t="s">
        <v>11</v>
      </c>
      <c r="G11" s="6" t="s">
        <v>15</v>
      </c>
      <c r="H11" s="6" t="s">
        <v>13</v>
      </c>
      <c r="I11" s="6" t="s">
        <v>12</v>
      </c>
    </row>
    <row r="12" spans="1:11" x14ac:dyDescent="0.35">
      <c r="A12" s="4">
        <v>1</v>
      </c>
      <c r="B12" s="4">
        <v>101</v>
      </c>
      <c r="C12" s="4">
        <v>2</v>
      </c>
      <c r="D12" s="4" t="str">
        <f>VLOOKUP(B2,Sheet1!$A$1:$C$9,2,0)</f>
        <v>Product A</v>
      </c>
      <c r="E12" s="4">
        <f>VLOOKUP(B2,Sheet1!$A$1:$C$9,3,0)</f>
        <v>120</v>
      </c>
      <c r="F12" s="4">
        <f t="shared" ref="F12:F19" si="0">PRODUCT(E12*C2)</f>
        <v>240</v>
      </c>
      <c r="G12" s="4" t="str">
        <f>IF(ISNA(VLOOKUP(B2,Sheet1!$A$1:$C$9,2,0)),"not found","found")</f>
        <v>found</v>
      </c>
      <c r="H12" s="4">
        <f>E12-(E12*10%)</f>
        <v>108</v>
      </c>
      <c r="I12" s="4">
        <f t="shared" ref="I12:I19" si="1">PRODUCT(H12*C2)</f>
        <v>216</v>
      </c>
    </row>
    <row r="13" spans="1:11" x14ac:dyDescent="0.35">
      <c r="A13" s="4">
        <v>2</v>
      </c>
      <c r="B13" s="4">
        <v>103</v>
      </c>
      <c r="C13" s="4">
        <v>1</v>
      </c>
      <c r="D13" s="4" t="str">
        <f>VLOOKUP(B3,Sheet1!$A$1:$C$9,2,0)</f>
        <v>Product C</v>
      </c>
      <c r="E13" s="4">
        <f>VLOOKUP(B3,Sheet1!$A$1:$C$9,3,0)</f>
        <v>200</v>
      </c>
      <c r="F13" s="4">
        <f t="shared" si="0"/>
        <v>200</v>
      </c>
      <c r="G13" s="4" t="str">
        <f>IF(ISNA(VLOOKUP(B3,Sheet1!$A$1:$C$9,2,0)),"not found","found")</f>
        <v>found</v>
      </c>
      <c r="H13" s="4">
        <f t="shared" ref="H13:H19" si="2">E13-(E13*10%)</f>
        <v>180</v>
      </c>
      <c r="I13" s="4">
        <f t="shared" si="1"/>
        <v>180</v>
      </c>
      <c r="K13" s="6" t="s">
        <v>14</v>
      </c>
    </row>
    <row r="14" spans="1:11" x14ac:dyDescent="0.35">
      <c r="A14" s="4">
        <v>3</v>
      </c>
      <c r="B14" s="4">
        <v>105</v>
      </c>
      <c r="C14" s="4">
        <v>4</v>
      </c>
      <c r="D14" s="4" t="str">
        <f>VLOOKUP(B4,Sheet1!$A$1:$C$9,2,0)</f>
        <v>Product E</v>
      </c>
      <c r="E14" s="4">
        <f>VLOOKUP(B4,Sheet1!$A$1:$C$9,3,0)</f>
        <v>220</v>
      </c>
      <c r="F14" s="4">
        <f t="shared" si="0"/>
        <v>880</v>
      </c>
      <c r="G14" s="4" t="str">
        <f>IF(ISNA(VLOOKUP(B4,Sheet1!$A$1:$C$9,2,0)),"not found","found")</f>
        <v>found</v>
      </c>
      <c r="H14" s="4">
        <f t="shared" si="2"/>
        <v>198</v>
      </c>
      <c r="I14" s="4">
        <f t="shared" si="1"/>
        <v>792</v>
      </c>
      <c r="K14" s="4">
        <f>MAX(F12:F17)</f>
        <v>880</v>
      </c>
    </row>
    <row r="15" spans="1:11" x14ac:dyDescent="0.35">
      <c r="A15" s="4">
        <v>4</v>
      </c>
      <c r="B15" s="4">
        <v>106</v>
      </c>
      <c r="C15" s="4">
        <v>3</v>
      </c>
      <c r="D15" s="4" t="str">
        <f>VLOOKUP(B5,Sheet1!$A$1:$C$9,2,0)</f>
        <v>Product F</v>
      </c>
      <c r="E15" s="4">
        <f>VLOOKUP(B5,Sheet1!$A$1:$C$9,3,0)</f>
        <v>130</v>
      </c>
      <c r="F15" s="4">
        <f t="shared" si="0"/>
        <v>390</v>
      </c>
      <c r="G15" s="4" t="str">
        <f>IF(ISNA(VLOOKUP(B5,Sheet1!$A$1:$C$9,2,0)),"not found","found")</f>
        <v>found</v>
      </c>
      <c r="H15" s="4">
        <f t="shared" si="2"/>
        <v>117</v>
      </c>
      <c r="I15" s="4">
        <f t="shared" si="1"/>
        <v>351</v>
      </c>
    </row>
    <row r="16" spans="1:11" x14ac:dyDescent="0.35">
      <c r="A16" s="4">
        <v>5</v>
      </c>
      <c r="B16" s="4">
        <v>102</v>
      </c>
      <c r="C16" s="4">
        <v>5</v>
      </c>
      <c r="D16" s="4" t="str">
        <f>VLOOKUP(B6,Sheet1!$A$1:$C$9,2,0)</f>
        <v>Product B</v>
      </c>
      <c r="E16" s="4">
        <f>VLOOKUP(B6,Sheet1!$A$1:$C$9,3,0)</f>
        <v>150</v>
      </c>
      <c r="F16" s="4">
        <f t="shared" si="0"/>
        <v>750</v>
      </c>
      <c r="G16" s="4" t="str">
        <f>IF(ISNA(VLOOKUP(B6,Sheet1!$A$1:$C$9,2,0)),"not found","found")</f>
        <v>found</v>
      </c>
      <c r="H16" s="4">
        <f t="shared" si="2"/>
        <v>135</v>
      </c>
      <c r="I16" s="4">
        <f t="shared" si="1"/>
        <v>675</v>
      </c>
    </row>
    <row r="17" spans="1:9" x14ac:dyDescent="0.35">
      <c r="A17" s="4">
        <v>6</v>
      </c>
      <c r="B17" s="4">
        <v>104</v>
      </c>
      <c r="C17" s="4">
        <v>6</v>
      </c>
      <c r="D17" s="4" t="str">
        <f>VLOOKUP(B7,Sheet1!$A$1:$C$9,2,0)</f>
        <v>Product D</v>
      </c>
      <c r="E17" s="4">
        <f>VLOOKUP(B7,Sheet1!$A$1:$C$9,3,0)</f>
        <v>90</v>
      </c>
      <c r="F17" s="4">
        <f t="shared" si="0"/>
        <v>540</v>
      </c>
      <c r="G17" s="4" t="str">
        <f>IF(ISNA(VLOOKUP(B7,Sheet1!$A$1:$C$9,2,0)),"not found","found")</f>
        <v>found</v>
      </c>
      <c r="H17" s="4">
        <f t="shared" si="2"/>
        <v>81</v>
      </c>
      <c r="I17" s="4">
        <f t="shared" si="1"/>
        <v>486</v>
      </c>
    </row>
    <row r="18" spans="1:9" x14ac:dyDescent="0.35">
      <c r="A18" s="4">
        <v>7</v>
      </c>
      <c r="B18" s="4">
        <v>107</v>
      </c>
      <c r="C18" s="4">
        <v>1</v>
      </c>
      <c r="D18" s="4" t="str">
        <f>VLOOKUP(B8,Sheet1!$A$1:$C$9,2,0)</f>
        <v>Product G</v>
      </c>
      <c r="E18" s="4">
        <f>VLOOKUP(B8,Sheet1!$A$1:$C$9,3,0)</f>
        <v>180</v>
      </c>
      <c r="F18" s="4">
        <f t="shared" si="0"/>
        <v>180</v>
      </c>
      <c r="G18" s="4" t="str">
        <f>IF(ISNA(VLOOKUP(B8,Sheet1!$A$1:$C$9,2,0)),"not found","found")</f>
        <v>found</v>
      </c>
      <c r="H18" s="4">
        <f t="shared" si="2"/>
        <v>162</v>
      </c>
      <c r="I18" s="4">
        <f t="shared" si="1"/>
        <v>162</v>
      </c>
    </row>
    <row r="19" spans="1:9" x14ac:dyDescent="0.35">
      <c r="A19" s="4">
        <v>8</v>
      </c>
      <c r="B19" s="4">
        <v>105</v>
      </c>
      <c r="C19" s="4">
        <v>4</v>
      </c>
      <c r="D19" s="4" t="str">
        <f>VLOOKUP(B9,Sheet1!$A$1:$C$9,2,0)</f>
        <v>Product E</v>
      </c>
      <c r="E19" s="4">
        <f>VLOOKUP(B9,Sheet1!$A$1:$C$9,3,0)</f>
        <v>220</v>
      </c>
      <c r="F19" s="4">
        <f t="shared" si="0"/>
        <v>880</v>
      </c>
      <c r="G19" s="4" t="str">
        <f>IF(ISNA(VLOOKUP(B9,Sheet1!$A$1:$C$9,2,0)),"not found","found")</f>
        <v>found</v>
      </c>
      <c r="H19" s="4">
        <f t="shared" si="2"/>
        <v>198</v>
      </c>
      <c r="I19" s="4">
        <f t="shared" si="1"/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2015-06-05T18:17:20Z</dcterms:created>
  <dcterms:modified xsi:type="dcterms:W3CDTF">2026-01-13T15:17:22Z</dcterms:modified>
</cp:coreProperties>
</file>